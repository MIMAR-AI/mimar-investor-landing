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e1eec409e64d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59223146ad4949ba"/>
    <x:sheet xmlns:r="http://schemas.openxmlformats.org/officeDocument/2006/relationships" name="Assumptions" sheetId="2" r:id="R99e573218af548c1"/>
    <x:sheet xmlns:r="http://schemas.openxmlformats.org/officeDocument/2006/relationships" name="Cohort Bridge" sheetId="3" r:id="Rb2dd370bd5234c7d"/>
    <x:sheet xmlns:r="http://schemas.openxmlformats.org/officeDocument/2006/relationships" name="Core Monthly" sheetId="4" r:id="R1198f7ac4f854a15"/>
    <x:sheet xmlns:r="http://schemas.openxmlformats.org/officeDocument/2006/relationships" name="Engage Monthly" sheetId="5" r:id="R017d0a74a52b429b"/>
    <x:sheet xmlns:r="http://schemas.openxmlformats.org/officeDocument/2006/relationships" name="Scenarios" sheetId="6" r:id="R4ea967fcb9264a5f"/>
    <x:sheet xmlns:r="http://schemas.openxmlformats.org/officeDocument/2006/relationships" name="Checks" sheetId="7" r:id="R36be006220fd4d1e"/>
    <x:sheet xmlns:r="http://schemas.openxmlformats.org/officeDocument/2006/relationships" name="Sources" sheetId="8" r:id="R4b3a4a935396484e"/>
  </x:sheets>
</x:workbook>
</file>

<file path=xl/comments1.xml><?xml version="1.0" encoding="utf-8"?>
<x:comments xmlns:x="http://schemas.openxmlformats.org/spreadsheetml/2006/main">
  <x:authors>
    <x:author>tc={AB122DA6-7F5F-47CB-B01C-D90958751727}</x:author>
    <x:author>tc={F67156EC-8217-4431-A309-FD3F7AFFD827}</x:author>
    <x:author>tc={CE91523B-7606-4548-9383-37676F1DEBE5}</x:author>
    <x:author>tc={4742A201-9D12-41BA-934A-BE366AF84BF2}</x:author>
    <x:author>tc={66870784-1AAC-444D-952B-5F6E221817CD}</x:author>
    <x:author>tc={6D29DD1E-FDC7-4A55-8D55-9BADF1F2F49D}</x:author>
    <x:author>tc={166461EE-BD2E-4E5B-B8DB-B43DD709BB9D}</x:author>
    <x:author>tc={D7682AA4-AAEA-44DE-B397-1FFB4EBA42A4}</x:author>
    <x:author>tc={0D9B5E05-E588-4D12-BE87-6AE1952999D4}</x:author>
  </x:authors>
  <x:commentList>
    <x:comment ref="B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https://chartmogul.com/reports/saas-billing-report/ | 2024 dataset | Low-ARPA annual-billing customer retention benchmark is approximately 62%; 60% is used as a rounded base.</x:t>
        </x:r>
      </x:text>
    </x:comment>
    <x:comment ref="B9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assumption: 90% annual B2B logo retention. Defensible only with annual commitments, embedded recurring workflows, and evidence from renewal cohorts.</x:t>
        </x:r>
      </x:text>
    </x:comment>
    <x:comment ref="B1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Planning assumption: API active-wallet retention is set below B2B subscription retention because usage wallets are more volatile.</x:t>
        </x:r>
      </x:text>
    </x:comment>
    <x:comment ref="B1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usage assumption. Recognize prepaid API balances only when consumed.</x:t>
        </x:r>
      </x:text>
    </x:comment>
    <x:comment ref="B18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context: https://www.benchmarkit.ai/2025benchmarks and https://www.bvp.com/atlas/the-state-of-ai-2025 | AI and services margins are below mature SaaS margins.</x:t>
        </x:r>
      </x:text>
    </x:comment>
    <x:comment ref="B2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https://www.benchmarkit.ai/2025benchmarks | Professional services gross margin benchmark is about 30%, modeled as 70% COGS.</x:t>
        </x:r>
      </x:text>
    </x:comment>
    <x:comment ref="B30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assumption: 90% annual Engage logo retention. This is a conditional target pending 12-month renewal data.</x:t>
        </x:r>
      </x:text>
    </x:comment>
    <x:comment ref="B34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context: Benchmarkit 2025 and Bessemer State of AI 2025. Base case avoids mature-SaaS gross margin in early years.</x:t>
        </x:r>
      </x:text>
    </x:comment>
    <x:comment ref="B3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https://www.benchmarkit.ai/2025benchmarks | Onboarding is treated as professional services at 30% gross margin.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;[Red](0.0%);-"/>
    <x:numFmt numFmtId="201" formatCode="$#,##0;[Red]($#,##0);-"/>
    <x:numFmt numFmtId="202" formatCode="#,##0.0;[Red](#,##0.0);-"/>
    <x:numFmt numFmtId="203" formatCode="mmm-yy"/>
    <x:numFmt numFmtId="204" formatCode="$#,##0.0;[Red]($#,##0.0);-"/>
  </x:numFmts>
  <x:fonts count="13">
    <x:font>
      <x:sz val="11"/>
      <x:name val="Carlito"/>
    </x:font>
    <x:font>
      <x:sz val="11"/>
      <x:color rgb="FFFFFFFF"/>
      <x:name val="Arial"/>
    </x:font>
    <x:font>
      <x:b/>
      <x:sz val="16"/>
      <x:color rgb="FFFFFFFF"/>
      <x:name val="Arial"/>
    </x:font>
    <x:font>
      <x:i/>
      <x:sz val="10"/>
      <x:color rgb="FFC8D1D6"/>
      <x:name val="Arial"/>
    </x:font>
    <x:font>
      <x:b/>
      <x:sz val="11"/>
      <x:color rgb="FF9EEBF5"/>
      <x:name val="Arial"/>
    </x:font>
    <x:font>
      <x:sz val="11"/>
      <x:color rgb="FF0000FF"/>
      <x:name val="Arial"/>
    </x:font>
    <x:font>
      <x:sz val="10"/>
      <x:name val="Arial"/>
    </x:font>
    <x:font>
      <x:sz val="10"/>
      <x:color rgb="FF0000FF"/>
      <x:name val="Arial"/>
    </x:font>
    <x:font>
      <x:i/>
      <x:sz val="11"/>
      <x:color rgb="FFC62828"/>
      <x:name val="Arial"/>
    </x:font>
    <x:font>
      <x:sz val="9"/>
      <x:name val="Arial"/>
    </x:font>
    <x:font>
      <x:b/>
      <x:sz val="11"/>
      <x:color rgb="FF0B1015"/>
      <x:name val="Arial"/>
    </x:font>
    <x:font>
      <x:b/>
      <x:sz val="10"/>
      <x:color rgb="FF9EEBF5"/>
      <x:name val="Arial"/>
    </x:font>
    <x:font>
      <x:b/>
      <x:sz val="10"/>
      <x:color rgb="FF0B1015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B1015"/>
      </x:patternFill>
    </x:fill>
    <x:fill>
      <x:patternFill patternType="solid">
        <x:fgColor rgb="FF111B22"/>
      </x:patternFill>
    </x:fill>
    <x:fill>
      <x:patternFill patternType="solid">
        <x:fgColor rgb="FFE9F5FC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DFF7FA"/>
      </x:patternFill>
    </x:fill>
  </x:fills>
  <x:borders count="4">
    <x:border/>
    <x:border>
      <x:bottom style="medium">
        <x:color rgb="FF9EEBF5"/>
      </x:bottom>
    </x:border>
    <x:border>
      <x:top style="medium">
        <x:color rgb="FF9EEBF5"/>
      </x:top>
      <x:bottom style="thin">
        <x:color rgb="FF9EEBF5"/>
      </x:bottom>
    </x:border>
    <x:border>
      <x:top style="medium">
        <x:color rgb="FF7AA7FF"/>
      </x:top>
      <x:bottom style="thin">
        <x:color rgb="FF7AA7FF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7" fillId="4" borderId="0" xfId="0" applyNumberFormat="1" applyFont="1" applyFill="1" applyBorder="1"/>
    <x:xf numFmtId="200" fontId="7" fillId="4" borderId="0" xfId="0" applyNumberFormat="1" applyFont="1" applyFill="1" applyBorder="1"/>
    <x:xf numFmtId="201" fontId="7" fillId="4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9" fillId="0" borderId="0" xfId="0" applyNumberFormat="1" applyFont="1" applyFill="1" applyBorder="1"/>
    <x:xf numFmtId="0" fontId="9" fillId="0" borderId="0" xfId="0" applyNumberFormat="1" applyFont="1" applyFill="1" applyBorder="1"/>
    <x:xf numFmtId="202" fontId="9" fillId="0" borderId="0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204" fontId="9" fillId="0" borderId="0" xfId="0" applyNumberFormat="1" applyFont="1" applyFill="1" applyBorder="1"/>
    <x:xf numFmtId="200" fontId="9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7" borderId="0" xfId="0" applyNumberFormat="1" applyFont="1" applyFill="1" applyBorder="1"/>
    <x:xf numFmtId="201" fontId="0" fillId="7" borderId="0" xfId="0" applyNumberFormat="1" applyFont="1" applyFill="1" applyBorder="1"/>
    <x:xf numFmtId="0" fontId="10" fillId="7" borderId="0" xfId="0" applyNumberFormat="1" applyFont="1" applyFill="1" applyBorder="1"/>
    <x:xf numFmtId="201" fontId="10" fillId="7" borderId="0" xfId="0" applyNumberFormat="1" applyFont="1" applyFill="1" applyBorder="1"/>
    <x:xf numFmtId="0" fontId="10" fillId="7" borderId="2" xfId="0" applyNumberFormat="1" applyFont="1" applyFill="1" applyBorder="1"/>
    <x:xf numFmtId="201" fontId="10" fillId="7" borderId="2" xfId="0" applyNumberFormat="1" applyFont="1" applyFill="1" applyBorder="1"/>
    <x:xf numFmtId="0" fontId="10" fillId="7" borderId="3" xfId="0" applyNumberFormat="1" applyFont="1" applyFill="1" applyBorder="1"/>
    <x:xf numFmtId="201" fontId="10" fillId="7" borderId="3" xfId="0" applyNumberFormat="1" applyFont="1" applyFill="1" applyBorder="1"/>
    <x:xf numFmtId="0" fontId="10" fillId="3" borderId="2" xfId="0" applyNumberFormat="1" applyFont="1" applyFill="1" applyBorder="1"/>
    <x:xf numFmtId="201" fontId="10" fillId="3" borderId="2" xfId="0" applyNumberFormat="1" applyFont="1" applyFill="1" applyBorder="1"/>
    <x:xf numFmtId="0" fontId="4" fillId="3" borderId="2" xfId="0" applyNumberFormat="1" applyFont="1" applyFill="1" applyBorder="1"/>
    <x:xf numFmtId="201" fontId="4" fillId="3" borderId="2" xfId="0" applyNumberFormat="1" applyFont="1" applyFill="1" applyBorder="1"/>
    <x:xf numFmtId="0" fontId="11" fillId="3" borderId="1" xfId="0" applyNumberFormat="1" applyFont="1" applyFill="1" applyBorder="1"/>
    <x:xf numFmtId="201" fontId="6" fillId="0" borderId="0" xfId="0" applyNumberFormat="1" applyFont="1" applyFill="1" applyBorder="1"/>
    <x:xf numFmtId="0" fontId="12" fillId="7" borderId="2" xfId="0" applyNumberFormat="1" applyFont="1" applyFill="1" applyBorder="1"/>
    <x:xf numFmtId="201" fontId="12" fillId="7" borderId="2" xfId="0" applyNumberFormat="1" applyFont="1" applyFill="1" applyBorder="1"/>
    <x:xf numFmtId="0" fontId="12" fillId="7" borderId="3" xfId="0" applyNumberFormat="1" applyFont="1" applyFill="1" applyBorder="1"/>
    <x:xf numFmtId="201" fontId="12" fillId="7" borderId="3" xfId="0" applyNumberFormat="1" applyFont="1" applyFill="1" applyBorder="1"/>
    <x:xf numFmtId="0" fontId="11" fillId="3" borderId="2" xfId="0" applyNumberFormat="1" applyFont="1" applyFill="1" applyBorder="1"/>
    <x:xf numFmtId="201" fontId="11" fillId="3" borderId="2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200" fontId="5" fillId="4" borderId="0" xfId="0" applyNumberFormat="1" applyFont="1" applyFill="1" applyBorder="1"/>
    <x:xf numFmtId="201" fontId="9" fillId="0" borderId="0" xfId="0" applyNumberFormat="1" applyFont="1" applyFill="1" applyBorder="1"/>
    <x:xf numFmtId="204" fontId="0" fillId="0" borderId="0" xfId="0" applyNumberFormat="1" applyFont="1" applyFill="1" applyBorder="1"/>
    <x:xf numFmtId="204" fontId="6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11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12" fillId="7" borderId="2" xfId="0" applyNumberFormat="1" applyFont="1" applyFill="1" applyBorder="1" applyAlignment="1">
      <x:alignment vertical="center"/>
    </x:xf>
    <x:xf numFmtId="201" fontId="12" fillId="7" borderId="2" xfId="0" applyNumberFormat="1" applyFont="1" applyFill="1" applyBorder="1" applyAlignment="1">
      <x:alignment vertical="center"/>
    </x:xf>
    <x:xf numFmtId="0" fontId="12" fillId="7" borderId="3" xfId="0" applyNumberFormat="1" applyFont="1" applyFill="1" applyBorder="1" applyAlignment="1">
      <x:alignment vertical="center"/>
    </x:xf>
    <x:xf numFmtId="201" fontId="12" fillId="7" borderId="3" xfId="0" applyNumberFormat="1" applyFont="1" applyFill="1" applyBorder="1" applyAlignment="1">
      <x:alignment vertical="center"/>
    </x:xf>
    <x:xf numFmtId="0" fontId="11" fillId="3" borderId="2" xfId="0" applyNumberFormat="1" applyFont="1" applyFill="1" applyBorder="1" applyAlignment="1">
      <x:alignment vertical="center"/>
    </x:xf>
    <x:xf numFmtId="201" fontId="11" fillId="3" borderId="2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7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203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008000"/>
      </x:font>
      <x:fill>
        <x:patternFill patternType="solid">
          <x:bgColor rgb="FFD9F2E6"/>
        </x:patternFill>
      </x:fill>
    </x:dxf>
    <x:dxf>
      <x:font>
        <x:b/>
        <x:color rgb="FFC62828"/>
      </x:font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86588e9e744996" /><Relationship Type="http://schemas.openxmlformats.org/officeDocument/2006/relationships/theme" Target="/xl/theme/theme1.xml" Id="Re09cf9c3f1574c5e" /><Relationship Type="http://schemas.openxmlformats.org/officeDocument/2006/relationships/sharedStrings" Target="/xl/sharedStrings.xml" Id="Rc592d730718a46d9" /><Relationship Type="http://schemas.openxmlformats.org/officeDocument/2006/relationships/worksheet" Target="/xl/worksheets/sheet1.xml" Id="R59223146ad4949ba" /><Relationship Type="http://schemas.openxmlformats.org/officeDocument/2006/relationships/worksheet" Target="/xl/worksheets/sheet2.xml" Id="R99e573218af548c1" /><Relationship Type="http://schemas.openxmlformats.org/officeDocument/2006/relationships/worksheet" Target="/xl/worksheets/sheet3.xml" Id="Rb2dd370bd5234c7d" /><Relationship Type="http://schemas.openxmlformats.org/officeDocument/2006/relationships/worksheet" Target="/xl/worksheets/sheet4.xml" Id="R1198f7ac4f854a15" /><Relationship Type="http://schemas.openxmlformats.org/officeDocument/2006/relationships/worksheet" Target="/xl/worksheets/sheet5.xml" Id="R017d0a74a52b429b" /><Relationship Type="http://schemas.openxmlformats.org/officeDocument/2006/relationships/worksheet" Target="/xl/worksheets/sheet6.xml" Id="R4ea967fcb9264a5f" /><Relationship Type="http://schemas.openxmlformats.org/officeDocument/2006/relationships/worksheet" Target="/xl/worksheets/sheet7.xml" Id="R36be006220fd4d1e" /><Relationship Type="http://schemas.openxmlformats.org/officeDocument/2006/relationships/worksheet" Target="/xl/worksheets/sheet8.xml" Id="R4b3a4a935396484e" /><Relationship Type="http://schemas.microsoft.com/office/2017/10/relationships/person" Target="/xl/persons/person.xml" Id="Racfef8847b2f4b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2d487784e440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by product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Core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Summary'!$G$5:$G$7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Engage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Summary'!$H$5:$H$7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,&quot;K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2d487784e440d4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Ahmad AbdulMajeed" id="{6AFCE2E9-A744-4F9D-BACF-CBDA99B7C31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6" dT="2026-08-28T08:35:24.297" personId="{6AFCE2E9-A744-4F9D-BACF-CBDA99B7C31F}" id="{AB122DA6-7F5F-47CB-B01C-D90958751727}">
    <xltc:text>Source: https://chartmogul.com/reports/saas-billing-report/ | 2024 dataset | Low-ARPA annual-billing customer retention benchmark is approximately 62%; 60% is used as a rounded base.</xltc:text>
  </xltc:threadedComment>
  <xltc:threadedComment ref="B9" dT="2026-08-28T08:35:24.297" personId="{6AFCE2E9-A744-4F9D-BACF-CBDA99B7C31F}" id="{F67156EC-8217-4431-A309-FD3F7AFFD827}">
    <xltc:text>Management assumption: 90% annual B2B logo retention. Defensible only with annual commitments, embedded recurring workflows, and evidence from renewal cohorts.</xltc:text>
  </xltc:threadedComment>
  <xltc:threadedComment ref="B15" dT="2026-08-28T08:35:24.297" personId="{6AFCE2E9-A744-4F9D-BACF-CBDA99B7C31F}" id="{CE91523B-7606-4548-9383-37676F1DEBE5}">
    <xltc:text>Planning assumption: API active-wallet retention is set below B2B subscription retention because usage wallets are more volatile.</xltc:text>
  </xltc:threadedComment>
  <xltc:threadedComment ref="B16" dT="2026-08-28T08:35:24.297" personId="{6AFCE2E9-A744-4F9D-BACF-CBDA99B7C31F}" id="{4742A201-9D12-41BA-934A-BE366AF84BF2}">
    <xltc:text>Management usage assumption. Recognize prepaid API balances only when consumed.</xltc:text>
  </xltc:threadedComment>
  <xltc:threadedComment ref="B18" dT="2026-08-28T08:35:24.297" personId="{6AFCE2E9-A744-4F9D-BACF-CBDA99B7C31F}" id="{66870784-1AAC-444D-952B-5F6E221817CD}">
    <xltc:text>Source context: https://www.benchmarkit.ai/2025benchmarks and https://www.bvp.com/atlas/the-state-of-ai-2025 | AI and services margins are below mature SaaS margins.</xltc:text>
  </xltc:threadedComment>
  <xltc:threadedComment ref="B20" dT="2026-08-28T08:35:24.298" personId="{6AFCE2E9-A744-4F9D-BACF-CBDA99B7C31F}" id="{6D29DD1E-FDC7-4A55-8D55-9BADF1F2F49D}">
    <xltc:text>Source: https://www.benchmarkit.ai/2025benchmarks | Professional services gross margin benchmark is about 30%, modeled as 70% COGS.</xltc:text>
  </xltc:threadedComment>
  <xltc:threadedComment ref="B30" dT="2026-08-28T08:35:24.298" personId="{6AFCE2E9-A744-4F9D-BACF-CBDA99B7C31F}" id="{166461EE-BD2E-4E5B-B8DB-B43DD709BB9D}">
    <xltc:text>Management assumption: 90% annual Engage logo retention. This is a conditional target pending 12-month renewal data.</xltc:text>
  </xltc:threadedComment>
  <xltc:threadedComment ref="B34" dT="2026-08-28T08:35:24.298" personId="{6AFCE2E9-A744-4F9D-BACF-CBDA99B7C31F}" id="{D7682AA4-AAEA-44DE-B397-1FFB4EBA42A4}">
    <xltc:text>Source context: Benchmarkit 2025 and Bessemer State of AI 2025. Base case avoids mature-SaaS gross margin in early years.</xltc:text>
  </xltc:threadedComment>
  <xltc:threadedComment ref="B36" dT="2026-08-28T08:35:24.298" personId="{6AFCE2E9-A744-4F9D-BACF-CBDA99B7C31F}" id="{0D9B5E05-E588-4D12-BE87-6AE1952999D4}">
    <xltc:text>Source: https://www.benchmarkit.ai/2025benchmarks | Onboarding is treated as professional services at 30% gross margin.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999f605ba342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46607cba53b4942" /><Relationship Type="http://schemas.openxmlformats.org/officeDocument/2006/relationships/vmlDrawing" Target="/xl/drawings/vmldrawing.vml" Id="R0c14a5a269af47cc" /><Relationship Type="http://schemas.microsoft.com/office/2017/10/relationships/threadedComment" Target="/xl/threadedcomments/threadedcomment.xml" Id="R0b18736fe9e54f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16" hidden="0" customWidth="1"/>
    <x:col min="5" max="5" width="4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4" hidden="0" customWidth="1"/>
    <x:col min="11" max="11" width="4" hidden="0" customWidth="1"/>
    <x:col min="12" max="12" width="4" hidden="0" customWidth="1"/>
  </x:cols>
  <x:sheetData>
    <x:row r="1" ht="30" customHeight="1">
      <x:c r="A1" s="64" t="str">
        <x:v>MIMAR Portfolio — Investor Revenue Model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</x:row>
    <x:row r="2" ht="24" customHeight="1">
      <x:c r="A2" s="66" t="str">
        <x:v>Underwritten base | Sep 2026–Aug 2029 | Explicit cohorts, segmented retention and revenue-specific gross margins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</x:row>
    <x:row r="4">
      <x:c r="A4" s="68" t="str">
        <x:v>Revenue stream</x:v>
      </x:c>
      <x:c r="B4" s="68" t="str">
        <x:v>Y1</x:v>
      </x:c>
      <x:c r="C4" s="68" t="str">
        <x:v>Y2</x:v>
      </x:c>
      <x:c r="D4" s="68" t="str">
        <x:v>Y3</x:v>
      </x:c>
      <x:c r="E4" s="67"/>
      <x:c r="F4" s="69" t="str">
        <x:v>Year</x:v>
      </x:c>
      <x:c r="G4" s="69" t="str">
        <x:v>Core</x:v>
      </x:c>
      <x:c r="H4" s="69" t="str">
        <x:v>Engage</x:v>
      </x:c>
      <x:c r="I4" s="69" t="str">
        <x:v>Portfolio</x:v>
      </x:c>
      <x:c r="J4" s="67"/>
      <x:c r="K4" s="67"/>
      <x:c r="L4" s="67"/>
    </x:row>
    <x:row r="5">
      <x:c r="A5" s="70" t="str">
        <x:v>CORE — Individuals</x:v>
      </x:c>
      <x:c r="B5" s="71" t="n">
        <x:f>SUM('Core Monthly'!E5:E16)</x:f>
        <x:v>10400</x:v>
      </x:c>
      <x:c r="C5" s="71" t="n">
        <x:f>SUM('Core Monthly'!E17:E28)</x:f>
        <x:v>42210</x:v>
      </x:c>
      <x:c r="D5" s="71" t="n">
        <x:f>SUM('Core Monthly'!E29:E40)</x:f>
        <x:v>109640</x:v>
      </x:c>
      <x:c r="E5" s="67"/>
      <x:c r="F5" s="67" t="str">
        <x:v>Y1</x:v>
      </x:c>
      <x:c r="G5" s="72" t="n">
        <x:f>B10</x:f>
        <x:v>55100</x:v>
      </x:c>
      <x:c r="H5" s="72" t="n">
        <x:f>B18</x:f>
        <x:v>58755</x:v>
      </x:c>
      <x:c r="I5" s="72" t="n">
        <x:f>B20</x:f>
        <x:v>113855</x:v>
      </x:c>
      <x:c r="J5" s="67"/>
      <x:c r="K5" s="67"/>
      <x:c r="L5" s="67"/>
    </x:row>
    <x:row r="6">
      <x:c r="A6" s="70" t="str">
        <x:v>CORE — Team seats</x:v>
      </x:c>
      <x:c r="B6" s="71" t="n">
        <x:f>SUM('Core Monthly'!I5:I16)</x:f>
        <x:v>20800</x:v>
      </x:c>
      <x:c r="C6" s="71" t="n">
        <x:f>SUM('Core Monthly'!I17:I28)</x:f>
        <x:v>81378</x:v>
      </x:c>
      <x:c r="D6" s="71" t="n">
        <x:f>SUM('Core Monthly'!I29:I40)</x:f>
        <x:v>218016</x:v>
      </x:c>
      <x:c r="E6" s="67"/>
      <x:c r="F6" s="67" t="str">
        <x:v>Y2</x:v>
      </x:c>
      <x:c r="G6" s="72" t="n">
        <x:f>C10</x:f>
        <x:v>184506.3333333333</x:v>
      </x:c>
      <x:c r="H6" s="72" t="n">
        <x:f>C18</x:f>
        <x:v>176016</x:v>
      </x:c>
      <x:c r="I6" s="72" t="n">
        <x:f>C20</x:f>
        <x:v>360522.3333333333</x:v>
      </x:c>
      <x:c r="J6" s="67"/>
      <x:c r="K6" s="67"/>
      <x:c r="L6" s="67"/>
    </x:row>
    <x:row r="7">
      <x:c r="A7" s="70" t="str">
        <x:v>CORE — Enterprise</x:v>
      </x:c>
      <x:c r="B7" s="71" t="n">
        <x:f>SUM('Core Monthly'!L5:L16)</x:f>
        <x:v>0</x:v>
      </x:c>
      <x:c r="C7" s="71" t="n">
        <x:f>SUM('Core Monthly'!L17:L28)</x:f>
        <x:v>10833.333333333332</x:v>
      </x:c>
      <x:c r="D7" s="71" t="n">
        <x:f>SUM('Core Monthly'!L29:L40)</x:f>
        <x:v>55550</x:v>
      </x:c>
      <x:c r="E7" s="67"/>
      <x:c r="F7" s="67" t="str">
        <x:v>Y3</x:v>
      </x:c>
      <x:c r="G7" s="72" t="n">
        <x:f>D10</x:f>
        <x:v>509512</x:v>
      </x:c>
      <x:c r="H7" s="72" t="n">
        <x:f>D18</x:f>
        <x:v>430706.64199999993</x:v>
      </x:c>
      <x:c r="I7" s="72" t="n">
        <x:f>D20</x:f>
        <x:v>940218.642</x:v>
      </x:c>
      <x:c r="J7" s="67"/>
      <x:c r="K7" s="67"/>
      <x:c r="L7" s="67"/>
    </x:row>
    <x:row r="8">
      <x:c r="A8" s="70" t="str">
        <x:v>CORE — API wallet</x:v>
      </x:c>
      <x:c r="B8" s="71" t="n">
        <x:f>SUM('Core Monthly'!O5:O16)</x:f>
        <x:v>3900</x:v>
      </x:c>
      <x:c r="C8" s="71" t="n">
        <x:f>SUM('Core Monthly'!O17:O28)</x:f>
        <x:v>22185</x:v>
      </x:c>
      <x:c r="D8" s="71" t="n">
        <x:f>SUM('Core Monthly'!O29:O40)</x:f>
        <x:v>79056</x:v>
      </x:c>
      <x:c r="E8" s="67"/>
      <x:c r="F8" s="67"/>
      <x:c r="G8" s="67"/>
      <x:c r="H8" s="67"/>
      <x:c r="I8" s="67"/>
      <x:c r="J8" s="67"/>
      <x:c r="K8" s="67"/>
      <x:c r="L8" s="67"/>
    </x:row>
    <x:row r="9">
      <x:c r="A9" s="70" t="str">
        <x:v>CORE — Onboarding</x:v>
      </x:c>
      <x:c r="B9" s="71" t="n">
        <x:f>SUM('Core Monthly'!R5:R16)</x:f>
        <x:v>20000</x:v>
      </x:c>
      <x:c r="C9" s="71" t="n">
        <x:f>SUM('Core Monthly'!R17:R28)</x:f>
        <x:v>27900</x:v>
      </x:c>
      <x:c r="D9" s="71" t="n">
        <x:f>SUM('Core Monthly'!R29:R40)</x:f>
        <x:v>47250</x:v>
      </x:c>
      <x:c r="E9" s="67"/>
      <x:c r="F9" s="67"/>
      <x:c r="G9" s="67"/>
      <x:c r="H9" s="67"/>
      <x:c r="I9" s="67"/>
      <x:c r="J9" s="67"/>
      <x:c r="K9" s="67"/>
      <x:c r="L9" s="67"/>
    </x:row>
    <x:row r="10">
      <x:c r="A10" s="73" t="str">
        <x:v>CORE TOTAL</x:v>
      </x:c>
      <x:c r="B10" s="74" t="n">
        <x:f>SUM('Core Monthly'!S5:S16)</x:f>
        <x:v>55100</x:v>
      </x:c>
      <x:c r="C10" s="74" t="n">
        <x:f>SUM('Core Monthly'!S17:S28)</x:f>
        <x:v>184506.3333333333</x:v>
      </x:c>
      <x:c r="D10" s="74" t="n">
        <x:f>SUM('Core Monthly'!S29:S40)</x:f>
        <x:v>509512</x:v>
      </x:c>
      <x:c r="E10" s="67"/>
      <x:c r="F10" s="67"/>
      <x:c r="G10" s="67"/>
      <x:c r="H10" s="67"/>
      <x:c r="I10" s="67"/>
      <x:c r="J10" s="67"/>
      <x:c r="K10" s="67"/>
      <x:c r="L10" s="67"/>
    </x:row>
    <x:row r="11">
      <x:c r="A11" s="70"/>
      <x:c r="B11" s="71"/>
      <x:c r="C11" s="71"/>
      <x:c r="D11" s="71"/>
      <x:c r="E11" s="67"/>
      <x:c r="F11" s="67"/>
      <x:c r="G11" s="67"/>
      <x:c r="H11" s="67"/>
      <x:c r="I11" s="67"/>
      <x:c r="J11" s="67"/>
      <x:c r="K11" s="67"/>
      <x:c r="L11" s="67"/>
    </x:row>
    <x:row r="12">
      <x:c r="A12" s="70" t="str">
        <x:v>ENGAGE — Starter</x:v>
      </x:c>
      <x:c r="B12" s="71" t="n">
        <x:f>SUM('Engage Monthly'!E5:E16)</x:f>
        <x:v>9652.5</x:v>
      </x:c>
      <x:c r="C12" s="71" t="n">
        <x:f>SUM('Engage Monthly'!E17:E28)</x:f>
        <x:v>28908</x:v>
      </x:c>
      <x:c r="D12" s="71" t="n">
        <x:f>SUM('Engage Monthly'!E29:E40)</x:f>
        <x:v>55123.19999999999</x:v>
      </x:c>
      <x:c r="E12" s="67"/>
      <x:c r="F12" s="67"/>
      <x:c r="G12" s="67"/>
      <x:c r="H12" s="67"/>
      <x:c r="I12" s="67"/>
      <x:c r="J12" s="67"/>
      <x:c r="K12" s="67"/>
      <x:c r="L12" s="67"/>
    </x:row>
    <x:row r="13">
      <x:c r="A13" s="70" t="str">
        <x:v>ENGAGE — Growth</x:v>
      </x:c>
      <x:c r="B13" s="71" t="n">
        <x:f>SUM('Engage Monthly'!G5:G16)</x:f>
        <x:v>19422</x:v>
      </x:c>
      <x:c r="C13" s="71" t="n">
        <x:f>SUM('Engage Monthly'!G17:G28)</x:f>
        <x:v>72732.9</x:v>
      </x:c>
      <x:c r="D13" s="71" t="n">
        <x:f>SUM('Engage Monthly'!G29:G40)</x:f>
        <x:v>193383.36</x:v>
      </x:c>
      <x:c r="E13" s="67"/>
      <x:c r="F13" s="67"/>
      <x:c r="G13" s="67"/>
      <x:c r="H13" s="67"/>
      <x:c r="I13" s="67"/>
      <x:c r="J13" s="67"/>
      <x:c r="K13" s="67"/>
      <x:c r="L13" s="67"/>
    </x:row>
    <x:row r="14">
      <x:c r="A14" s="70" t="str">
        <x:v>ENGAGE — Scale</x:v>
      </x:c>
      <x:c r="B14" s="71" t="n">
        <x:f>SUM('Engage Monthly'!I5:I16)</x:f>
        <x:v>11680.5</x:v>
      </x:c>
      <x:c r="C14" s="71" t="n">
        <x:f>SUM('Engage Monthly'!I17:I28)</x:f>
        <x:v>38875.100000000006</x:v>
      </x:c>
      <x:c r="D14" s="71" t="n">
        <x:f>SUM('Engage Monthly'!I29:I40)</x:f>
        <x:v>96534.84</x:v>
      </x:c>
      <x:c r="E14" s="67"/>
      <x:c r="F14" s="67"/>
      <x:c r="G14" s="67"/>
      <x:c r="H14" s="67"/>
      <x:c r="I14" s="67"/>
      <x:c r="J14" s="67"/>
      <x:c r="K14" s="67"/>
      <x:c r="L14" s="67"/>
    </x:row>
    <x:row r="15">
      <x:c r="A15" s="70" t="str">
        <x:v>ENGAGE — Enterprise</x:v>
      </x:c>
      <x:c r="B15" s="71" t="n">
        <x:f>SUM('Engage Monthly'!K5:K16)</x:f>
        <x:v>0</x:v>
      </x:c>
      <x:c r="C15" s="71" t="n">
        <x:f>SUM('Engage Monthly'!K17:K28)</x:f>
        <x:v>6500</x:v>
      </x:c>
      <x:c r="D15" s="71" t="n">
        <x:f>SUM('Engage Monthly'!K29:K40)</x:f>
        <x:v>23800</x:v>
      </x:c>
      <x:c r="E15" s="67"/>
      <x:c r="F15" s="67"/>
      <x:c r="G15" s="67"/>
      <x:c r="H15" s="67"/>
      <x:c r="I15" s="67"/>
      <x:c r="J15" s="67"/>
      <x:c r="K15" s="67"/>
      <x:c r="L15" s="67"/>
    </x:row>
    <x:row r="16">
      <x:c r="A16" s="70" t="str">
        <x:v>ENGAGE — Usage/add-ons</x:v>
      </x:c>
      <x:c r="B16" s="71" t="n">
        <x:f>SUM('Engage Monthly'!M5:M16)</x:f>
        <x:v>0</x:v>
      </x:c>
      <x:c r="C16" s="71" t="n">
        <x:f>SUM('Engage Monthly'!M17:M28)</x:f>
        <x:v>0</x:v>
      </x:c>
      <x:c r="D16" s="71" t="n">
        <x:f>SUM('Engage Monthly'!M29:M40)</x:f>
        <x:v>11065.241999999998</x:v>
      </x:c>
      <x:c r="E16" s="67"/>
      <x:c r="F16" s="67"/>
      <x:c r="G16" s="67"/>
      <x:c r="H16" s="67"/>
      <x:c r="I16" s="67"/>
      <x:c r="J16" s="67"/>
      <x:c r="K16" s="67"/>
      <x:c r="L16" s="67"/>
    </x:row>
    <x:row r="17">
      <x:c r="A17" s="70" t="str">
        <x:v>ENGAGE — Onboarding</x:v>
      </x:c>
      <x:c r="B17" s="71" t="n">
        <x:f>SUM('Engage Monthly'!R5:R16)</x:f>
        <x:v>18000</x:v>
      </x:c>
      <x:c r="C17" s="71" t="n">
        <x:f>SUM('Engage Monthly'!R17:R28)</x:f>
        <x:v>29000.00000000001</x:v>
      </x:c>
      <x:c r="D17" s="71" t="n">
        <x:f>SUM('Engage Monthly'!R29:R40)</x:f>
        <x:v>50800.00000000001</x:v>
      </x:c>
      <x:c r="E17" s="67"/>
      <x:c r="F17" s="67"/>
      <x:c r="G17" s="67"/>
      <x:c r="H17" s="67"/>
      <x:c r="I17" s="67"/>
      <x:c r="J17" s="67"/>
      <x:c r="K17" s="67"/>
      <x:c r="L17" s="67"/>
    </x:row>
    <x:row r="18">
      <x:c r="A18" s="75" t="str">
        <x:v>ENGAGE TOTAL</x:v>
      </x:c>
      <x:c r="B18" s="76" t="n">
        <x:f>SUM('Engage Monthly'!S5:S16)</x:f>
        <x:v>58755</x:v>
      </x:c>
      <x:c r="C18" s="76" t="n">
        <x:f>SUM('Engage Monthly'!S17:S28)</x:f>
        <x:v>176016</x:v>
      </x:c>
      <x:c r="D18" s="76" t="n">
        <x:f>SUM('Engage Monthly'!S29:S40)</x:f>
        <x:v>430706.64199999993</x:v>
      </x:c>
      <x:c r="E18" s="67"/>
      <x:c r="F18" s="67"/>
      <x:c r="G18" s="67"/>
      <x:c r="H18" s="67"/>
      <x:c r="I18" s="67"/>
      <x:c r="J18" s="67"/>
      <x:c r="K18" s="67"/>
      <x:c r="L18" s="67"/>
    </x:row>
    <x:row r="19">
      <x:c r="A19" s="70"/>
      <x:c r="B19" s="71"/>
      <x:c r="C19" s="71"/>
      <x:c r="D19" s="71"/>
      <x:c r="E19" s="67"/>
      <x:c r="F19" s="67"/>
      <x:c r="G19" s="67"/>
      <x:c r="H19" s="67"/>
      <x:c r="I19" s="67"/>
      <x:c r="J19" s="67"/>
      <x:c r="K19" s="67"/>
      <x:c r="L19" s="67"/>
    </x:row>
    <x:row r="20">
      <x:c r="A20" s="77" t="str">
        <x:v>PORTFOLIO REVENUE</x:v>
      </x:c>
      <x:c r="B20" s="78" t="n">
        <x:f>B10+B18</x:f>
        <x:v>113855</x:v>
      </x:c>
      <x:c r="C20" s="78" t="n">
        <x:f>C10+C18</x:f>
        <x:v>360522.3333333333</x:v>
      </x:c>
      <x:c r="D20" s="78" t="n">
        <x:f>D10+D18</x:f>
        <x:v>940218.642</x:v>
      </x:c>
      <x:c r="E20" s="67"/>
      <x:c r="F20" s="67"/>
      <x:c r="G20" s="67"/>
      <x:c r="H20" s="67"/>
      <x:c r="I20" s="67"/>
      <x:c r="J20" s="67"/>
      <x:c r="K20" s="67"/>
      <x:c r="L20" s="67"/>
    </x:row>
    <x:row r="21">
      <x:c r="A21" s="70" t="str">
        <x:v>Ending MRR (recurring only)</x:v>
      </x:c>
      <x:c r="B21" s="71" t="n">
        <x:f>('Core Monthly'!S16-'Core Monthly'!R16)+('Engage Monthly'!S16-'Engage Monthly'!R16)</x:f>
        <x:v>11670</x:v>
      </x:c>
      <x:c r="C21" s="71" t="n">
        <x:f>('Core Monthly'!S28-'Core Monthly'!R28)+('Engage Monthly'!S28-'Engage Monthly'!R28)</x:f>
        <x:v>37473.66666666667</x:v>
      </x:c>
      <x:c r="D21" s="71" t="n">
        <x:f>('Core Monthly'!S40-'Core Monthly'!R40)+('Engage Monthly'!S40-'Engage Monthly'!R40)</x:f>
        <x:v>99977.401</x:v>
      </x:c>
      <x:c r="E21" s="67"/>
      <x:c r="F21" s="67"/>
      <x:c r="G21" s="67"/>
      <x:c r="H21" s="67"/>
      <x:c r="I21" s="67"/>
      <x:c r="J21" s="67"/>
      <x:c r="K21" s="67"/>
      <x:c r="L21" s="67"/>
    </x:row>
    <x:row r="22">
      <x:c r="A22" s="70" t="str">
        <x:v>Exit ARR</x:v>
      </x:c>
      <x:c r="B22" s="71" t="n">
        <x:f>B21*12</x:f>
        <x:v>140040</x:v>
      </x:c>
      <x:c r="C22" s="71" t="n">
        <x:f>C21*12</x:f>
        <x:v>449684.00000000006</x:v>
      </x:c>
      <x:c r="D22" s="71" t="n">
        <x:f>D21*12</x:f>
        <x:v>1199728.812</x:v>
      </x:c>
      <x:c r="E22" s="67"/>
      <x:c r="F22" s="67"/>
      <x:c r="G22" s="67"/>
      <x:c r="H22" s="67"/>
      <x:c r="I22" s="67"/>
      <x:c r="J22" s="67"/>
      <x:c r="K22" s="67"/>
      <x:c r="L22" s="67"/>
    </x:row>
    <x:row r="23">
      <x:c r="A23" s="70" t="str">
        <x:v>Recurring revenue mix</x:v>
      </x:c>
      <x:c r="B23" s="79" t="n">
        <x:f>(B20-B9-B17)/B20</x:f>
        <x:v>0.6662421501032014</x:v>
      </x:c>
      <x:c r="C23" s="79" t="n">
        <x:f>(C20-C9-C17)/C20</x:f>
        <x:v>0.8421734390934634</x:v>
      </x:c>
      <x:c r="D23" s="79" t="n">
        <x:f>(D20-D9-D17)/D20</x:f>
        <x:v>0.8957157456573809</x:v>
      </x:c>
      <x:c r="E23" s="67"/>
      <x:c r="F23" s="67"/>
      <x:c r="G23" s="67"/>
      <x:c r="H23" s="67"/>
      <x:c r="I23" s="67"/>
      <x:c r="J23" s="67"/>
      <x:c r="K23" s="67"/>
      <x:c r="L23" s="67"/>
    </x:row>
    <x:row r="24">
      <x:c r="A24" s="70" t="str">
        <x:v>Core share</x:v>
      </x:c>
      <x:c r="B24" s="79" t="n">
        <x:f>B10/B20</x:f>
        <x:v>0.48394888235035793</x:v>
      </x:c>
      <x:c r="C24" s="79" t="n">
        <x:f>C10/C20</x:f>
        <x:v>0.5117750449116882</x:v>
      </x:c>
      <x:c r="D24" s="79" t="n">
        <x:f>D10/D20</x:f>
        <x:v>0.5419079959063394</x:v>
      </x:c>
      <x:c r="E24" s="67"/>
      <x:c r="F24" s="67"/>
      <x:c r="G24" s="67"/>
      <x:c r="H24" s="67"/>
      <x:c r="I24" s="67"/>
      <x:c r="J24" s="67"/>
      <x:c r="K24" s="67"/>
      <x:c r="L24" s="67"/>
    </x:row>
    <x:row r="25">
      <x:c r="A25" s="70" t="str">
        <x:v>Engage share</x:v>
      </x:c>
      <x:c r="B25" s="79" t="n">
        <x:f>B18/B20</x:f>
        <x:v>0.5160511176496421</x:v>
      </x:c>
      <x:c r="C25" s="79" t="n">
        <x:f>C18/C20</x:f>
        <x:v>0.4882249550883117</x:v>
      </x:c>
      <x:c r="D25" s="79" t="n">
        <x:f>D18/D20</x:f>
        <x:v>0.4580920040936605</x:v>
      </x:c>
      <x:c r="E25" s="67"/>
      <x:c r="F25" s="67"/>
      <x:c r="G25" s="67"/>
      <x:c r="H25" s="67"/>
      <x:c r="I25" s="67"/>
      <x:c r="J25" s="67"/>
      <x:c r="K25" s="67"/>
      <x:c r="L25" s="67"/>
    </x:row>
    <x:row r="26">
      <x:c r="A26" s="70" t="str">
        <x:v>Gross profit</x:v>
      </x:c>
      <x:c r="B26" s="71" t="n">
        <x:f>SUM('Core Monthly'!U5:U16)+SUM('Engage Monthly'!U5:U16)</x:f>
        <x:v>60120.75</x:v>
      </x:c>
      <x:c r="C26" s="71" t="n">
        <x:f>SUM('Core Monthly'!U17:U28)+SUM('Engage Monthly'!U17:U28)</x:f>
        <x:v>220649.13666666672</x:v>
      </x:c>
      <x:c r="D26" s="71" t="n">
        <x:f>SUM('Core Monthly'!U29:U40)+SUM('Engage Monthly'!U29:U40)</x:f>
        <x:v>609920.9252</x:v>
      </x:c>
      <x:c r="E26" s="67"/>
      <x:c r="F26" s="80" t="str">
        <x:v>Underwriting note: B2B cohorts retain at 90% in the base case. Individuals retain at 60% and API wallets at 70%. Enterprise is excluded from Y1 base until contracted. Onboarding is modeled at 30% gross margin.</x:v>
      </x:c>
      <x:c r="G26" s="80"/>
      <x:c r="H26" s="80"/>
      <x:c r="I26" s="80"/>
      <x:c r="J26" s="80"/>
      <x:c r="K26" s="80"/>
      <x:c r="L26" s="80"/>
    </x:row>
    <x:row r="27">
      <x:c r="A27" s="70" t="str">
        <x:v>Blended gross margin</x:v>
      </x:c>
      <x:c r="B27" s="79" t="n">
        <x:f>B26/B20</x:f>
        <x:v>0.5280466382679724</x:v>
      </x:c>
      <x:c r="C27" s="79" t="n">
        <x:f>C26/C20</x:f>
        <x:v>0.6120262637451034</x:v>
      </x:c>
      <x:c r="D27" s="79" t="n">
        <x:f>D26/D20</x:f>
        <x:v>0.6487011615751394</x:v>
      </x:c>
      <x:c r="E27" s="67"/>
      <x:c r="F27" s="80"/>
      <x:c r="G27" s="80"/>
      <x:c r="H27" s="80"/>
      <x:c r="I27" s="80"/>
      <x:c r="J27" s="80"/>
      <x:c r="K27" s="80"/>
      <x:c r="L27" s="80"/>
    </x:row>
    <x:row r="28">
      <x:c r="A28" s="70" t="str">
        <x:v>Model status</x:v>
      </x:c>
      <x:c r="B28" s="70" t="str">
        <x:v>Cohort base case</x:v>
      </x:c>
      <x:c r="C28" s="70" t="str">
        <x:v>Cohort base case</x:v>
      </x:c>
      <x:c r="D28" s="70" t="str">
        <x:v>Cohort base case</x:v>
      </x:c>
      <x:c r="E28" s="67"/>
      <x:c r="F28" s="80"/>
      <x:c r="G28" s="80"/>
      <x:c r="H28" s="80"/>
      <x:c r="I28" s="80"/>
      <x:c r="J28" s="80"/>
      <x:c r="K28" s="80"/>
      <x:c r="L28" s="80"/>
    </x:row>
    <x:row r="29">
      <x:c r="A29" s="70"/>
      <x:c r="B29" s="70"/>
      <x:c r="C29" s="70"/>
      <x:c r="D29" s="70"/>
      <x:c r="E29" s="67"/>
      <x:c r="F29" s="67"/>
      <x:c r="G29" s="67"/>
      <x:c r="H29" s="67"/>
      <x:c r="I29" s="67"/>
      <x:c r="J29" s="67"/>
      <x:c r="K29" s="67"/>
      <x:c r="L29" s="67"/>
    </x:row>
    <x:row r="30">
      <x:c r="A30" s="68" t="str">
        <x:v>Scenario</x:v>
      </x:c>
      <x:c r="B30" s="68" t="str">
        <x:v>Y1</x:v>
      </x:c>
      <x:c r="C30" s="68" t="str">
        <x:v>Y2</x:v>
      </x:c>
      <x:c r="D30" s="68" t="str">
        <x:v>Y3</x:v>
      </x:c>
      <x:c r="E30" s="67"/>
      <x:c r="F30" s="67"/>
      <x:c r="G30" s="67"/>
      <x:c r="H30" s="67"/>
      <x:c r="I30" s="67"/>
      <x:c r="J30" s="67"/>
      <x:c r="K30" s="67"/>
      <x:c r="L30" s="67"/>
    </x:row>
    <x:row r="31">
      <x:c r="A31" s="70" t="str">
        <x:v>Conservative</x:v>
      </x:c>
      <x:c r="B31" s="71" t="n">
        <x:f>'Scenarios'!B5</x:f>
        <x:v>79698.5</x:v>
      </x:c>
      <x:c r="C31" s="71" t="n">
        <x:f>'Scenarios'!C5</x:f>
        <x:v>264456.26666666666</x:v>
      </x:c>
      <x:c r="D31" s="71" t="n">
        <x:f>'Scenarios'!D5</x:f>
        <x:v>718043.1691</x:v>
      </x:c>
      <x:c r="E31" s="67"/>
      <x:c r="F31" s="67"/>
      <x:c r="G31" s="67"/>
      <x:c r="H31" s="67"/>
      <x:c r="I31" s="67"/>
      <x:c r="J31" s="67"/>
      <x:c r="K31" s="67"/>
      <x:c r="L31" s="67"/>
    </x:row>
    <x:row r="32">
      <x:c r="A32" s="70" t="str">
        <x:v>Base</x:v>
      </x:c>
      <x:c r="B32" s="71" t="n">
        <x:f>'Scenarios'!B6</x:f>
        <x:v>113855</x:v>
      </x:c>
      <x:c r="C32" s="71" t="n">
        <x:f>'Scenarios'!C6</x:f>
        <x:v>360522.3333333334</x:v>
      </x:c>
      <x:c r="D32" s="71" t="n">
        <x:f>'Scenarios'!D6</x:f>
        <x:v>940218.642</x:v>
      </x:c>
      <x:c r="E32" s="67"/>
      <x:c r="F32" s="67"/>
      <x:c r="G32" s="67"/>
      <x:c r="H32" s="67"/>
      <x:c r="I32" s="67"/>
      <x:c r="J32" s="67"/>
      <x:c r="K32" s="67"/>
      <x:c r="L32" s="67"/>
    </x:row>
    <x:row r="33">
      <x:c r="A33" s="70" t="str">
        <x:v>Upside</x:v>
      </x:c>
      <x:c r="B33" s="71" t="n">
        <x:f>'Scenarios'!B7</x:f>
        <x:v>148011.5</x:v>
      </x:c>
      <x:c r="C33" s="71" t="n">
        <x:f>'Scenarios'!C7</x:f>
        <x:v>489154.58999999997</x:v>
      </x:c>
      <x:c r="D33" s="71" t="n">
        <x:f>'Scenarios'!D7</x:f>
        <x:v>1329033.148764</x:v>
      </x:c>
      <x:c r="E33" s="67"/>
      <x:c r="F33" s="67"/>
      <x:c r="G33" s="67"/>
      <x:c r="H33" s="67"/>
      <x:c r="I33" s="67"/>
      <x:c r="J33" s="67"/>
      <x:c r="K33" s="67"/>
      <x:c r="L33" s="67"/>
    </x:row>
  </x:sheetData>
  <x:mergeCells>
    <x:mergeCell ref="A1:L1"/>
    <x:mergeCell ref="A2:L2"/>
    <x:mergeCell ref="F26:L28"/>
  </x:mergeCells>
  <x:pageMargins left="0.7" right="0.7" top="0.75" bottom="0.75" header="0.3" footer="0.3"/>
  <x:drawing xmlns:r="http://schemas.openxmlformats.org/officeDocument/2006/relationships" r:id="Rf0999f605ba342a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2" hidden="0" customWidth="1"/>
    <x:col min="3" max="3" width="12" hidden="0" customWidth="1"/>
    <x:col min="4" max="4" width="12" hidden="0" customWidth="1"/>
    <x:col min="5" max="5" width="18" hidden="0" customWidth="1"/>
    <x:col min="6" max="6" width="22" hidden="0" customWidth="1"/>
    <x:col min="7" max="7" width="22" hidden="0" customWidth="1"/>
    <x:col min="8" max="8" width="58" hidden="0" customWidth="1"/>
  </x:cols>
  <x:sheetData>
    <x:row r="1" ht="30" customHeight="1">
      <x:c r="A1" s="64" t="str">
        <x:v>MIMAR 3-Year Revenue Model — Defensible Assumptions</x:v>
      </x:c>
      <x:c r="B1" s="65"/>
      <x:c r="C1" s="65"/>
      <x:c r="D1" s="65"/>
      <x:c r="E1" s="65"/>
      <x:c r="F1" s="65"/>
      <x:c r="G1" s="65"/>
      <x:c r="H1" s="65"/>
    </x:row>
    <x:row r="2" ht="24" customHeight="1">
      <x:c r="A2" s="66" t="str">
        <x:v>Base case uses explicit new cohorts and annual retention. Blue cells are editable; every output rolls from these drivers.</x:v>
      </x:c>
      <x:c r="B2" s="65"/>
      <x:c r="C2" s="65"/>
      <x:c r="D2" s="65"/>
      <x:c r="E2" s="65"/>
      <x:c r="F2" s="65"/>
      <x:c r="G2" s="65"/>
      <x:c r="H2" s="65"/>
    </x:row>
    <x:row r="3">
      <x:c r="A3" s="67"/>
      <x:c r="B3" s="67"/>
      <x:c r="C3" s="67"/>
      <x:c r="D3" s="67"/>
      <x:c r="E3" s="67"/>
      <x:c r="F3" s="67"/>
      <x:c r="G3" s="67"/>
      <x:c r="H3" s="67"/>
    </x:row>
    <x:row r="4">
      <x:c r="A4" s="69" t="str">
        <x:v>Driver</x:v>
      </x:c>
      <x:c r="B4" s="69" t="str">
        <x:v>Y1</x:v>
      </x:c>
      <x:c r="C4" s="69" t="str">
        <x:v>Y2</x:v>
      </x:c>
      <x:c r="D4" s="69" t="str">
        <x:v>Y3</x:v>
      </x:c>
      <x:c r="E4" s="69" t="str">
        <x:v>Unit</x:v>
      </x:c>
      <x:c r="F4" s="69" t="str">
        <x:v>Evidence type</x:v>
      </x:c>
      <x:c r="G4" s="69" t="str">
        <x:v>Validation status</x:v>
      </x:c>
      <x:c r="H4" s="69" t="str">
        <x:v>Source / rationale</x:v>
      </x:c>
    </x:row>
    <x:row r="5">
      <x:c r="A5" s="70" t="str">
        <x:v>CORE — new individual paid cohort</x:v>
      </x:c>
      <x:c r="B5" s="81" t="n">
        <x:v>100</x:v>
      </x:c>
      <x:c r="C5" s="81" t="n">
        <x:v>250</x:v>
      </x:c>
      <x:c r="D5" s="81" t="n">
        <x:v>500</x:v>
      </x:c>
      <x:c r="E5" s="70" t="str">
        <x:v>new users</x:v>
      </x:c>
      <x:c r="F5" s="82" t="str">
        <x:v>Management case</x:v>
      </x:c>
      <x:c r="G5" s="82" t="str">
        <x:v>Validate with cohorts</x:v>
      </x:c>
      <x:c r="H5" s="82" t="str">
        <x:v>Defensible launch ramp; lower than prior ending targets</x:v>
      </x:c>
    </x:row>
    <x:row r="6">
      <x:c r="A6" s="70" t="str">
        <x:v>CORE — individual annual retention</x:v>
      </x:c>
      <x:c r="B6" s="83" t="n">
        <x:v>0.6</x:v>
      </x:c>
      <x:c r="C6" s="83" t="n">
        <x:v>0.6</x:v>
      </x:c>
      <x:c r="D6" s="83" t="n">
        <x:v>0.6</x:v>
      </x:c>
      <x:c r="E6" s="70" t="str">
        <x:v>% retained</x:v>
      </x:c>
      <x:c r="F6" s="82" t="str">
        <x:v>Market anchored</x:v>
      </x:c>
      <x:c r="G6" s="82" t="str">
        <x:v>Benchmark anchored</x:v>
      </x:c>
      <x:c r="H6" s="82" t="str">
        <x:v>ChartMogul low-ARPA annual retention is ~62% on annual billing</x:v>
      </x:c>
    </x:row>
    <x:row r="7">
      <x:c r="A7" s="70" t="str">
        <x:v>CORE — blended individual ARPU</x:v>
      </x:c>
      <x:c r="B7" s="84" t="n">
        <x:v>16</x:v>
      </x:c>
      <x:c r="C7" s="84" t="n">
        <x:v>18</x:v>
      </x:c>
      <x:c r="D7" s="84" t="n">
        <x:v>20</x:v>
      </x:c>
      <x:c r="E7" s="70" t="str">
        <x:v>$/month</x:v>
      </x:c>
      <x:c r="F7" s="82" t="str">
        <x:v>Published price + mix</x:v>
      </x:c>
      <x:c r="G7" s="82" t="str">
        <x:v>Market anchored</x:v>
      </x:c>
      <x:c r="H7" s="82" t="str">
        <x:v>$10 Plus / $25 Pro; base assumes lower-plan majority</x:v>
      </x:c>
    </x:row>
    <x:row r="8">
      <x:c r="A8" s="70" t="str">
        <x:v>CORE — new team account cohort</x:v>
      </x:c>
      <x:c r="B8" s="81" t="n">
        <x:v>20</x:v>
      </x:c>
      <x:c r="C8" s="81" t="n">
        <x:v>30</x:v>
      </x:c>
      <x:c r="D8" s="81" t="n">
        <x:v>60</x:v>
      </x:c>
      <x:c r="E8" s="70" t="str">
        <x:v>new workspaces</x:v>
      </x:c>
      <x:c r="F8" s="82" t="str">
        <x:v>Management case</x:v>
      </x:c>
      <x:c r="G8" s="82" t="str">
        <x:v>Validate with pipeline</x:v>
      </x:c>
      <x:c r="H8" s="82" t="str">
        <x:v>Founder-led + partner motion; gross new accounts, not ending totals</x:v>
      </x:c>
    </x:row>
    <x:row r="9">
      <x:c r="A9" s="70" t="str">
        <x:v>CORE — B2B annual logo retention</x:v>
      </x:c>
      <x:c r="B9" s="83" t="n">
        <x:v>0.9</x:v>
      </x:c>
      <x:c r="C9" s="83" t="n">
        <x:v>0.9</x:v>
      </x:c>
      <x:c r="D9" s="83" t="n">
        <x:v>0.9</x:v>
      </x:c>
      <x:c r="E9" s="70" t="str">
        <x:v>% retained</x:v>
      </x:c>
      <x:c r="F9" s="82" t="str">
        <x:v>Management target</x:v>
      </x:c>
      <x:c r="G9" s="82" t="str">
        <x:v>Conditional target</x:v>
      </x:c>
      <x:c r="H9" s="82" t="str">
        <x:v>90% requires annual billing, workflow embedding and assisted onboarding</x:v>
      </x:c>
    </x:row>
    <x:row r="10">
      <x:c r="A10" s="70" t="str">
        <x:v>CORE — average active seats per team</x:v>
      </x:c>
      <x:c r="B10" s="81" t="n">
        <x:v>8</x:v>
      </x:c>
      <x:c r="C10" s="81" t="n">
        <x:v>9</x:v>
      </x:c>
      <x:c r="D10" s="81" t="n">
        <x:v>10</x:v>
      </x:c>
      <x:c r="E10" s="70" t="str">
        <x:v>seats/workspace</x:v>
      </x:c>
      <x:c r="F10" s="82" t="str">
        <x:v>Management assumption</x:v>
      </x:c>
      <x:c r="G10" s="82" t="str">
        <x:v>Validate with cohorts</x:v>
      </x:c>
      <x:c r="H10" s="82" t="str">
        <x:v>No hidden account growth; seat expansion is explicit</x:v>
      </x:c>
    </x:row>
    <x:row r="11">
      <x:c r="A11" s="70" t="str">
        <x:v>CORE — blended team seat price</x:v>
      </x:c>
      <x:c r="B11" s="84" t="n">
        <x:v>20</x:v>
      </x:c>
      <x:c r="C11" s="84" t="n">
        <x:v>22</x:v>
      </x:c>
      <x:c r="D11" s="84" t="n">
        <x:v>24</x:v>
      </x:c>
      <x:c r="E11" s="70" t="str">
        <x:v>$/seat/month</x:v>
      </x:c>
      <x:c r="F11" s="82" t="str">
        <x:v>Published price + mix</x:v>
      </x:c>
      <x:c r="G11" s="82" t="str">
        <x:v>Market anchored</x:v>
      </x:c>
      <x:c r="H11" s="82" t="str">
        <x:v>$12 Team Plus / $30 Team Pro</x:v>
      </x:c>
    </x:row>
    <x:row r="12">
      <x:c r="A12" s="70" t="str">
        <x:v>CORE — new enterprise cohort</x:v>
      </x:c>
      <x:c r="B12" s="84" t="n">
        <x:v>0</x:v>
      </x:c>
      <x:c r="C12" s="84" t="n">
        <x:v>1</x:v>
      </x:c>
      <x:c r="D12" s="84" t="n">
        <x:v>3</x:v>
      </x:c>
      <x:c r="E12" s="70" t="str">
        <x:v>new contracts</x:v>
      </x:c>
      <x:c r="F12" s="82" t="str">
        <x:v>Management case</x:v>
      </x:c>
      <x:c r="G12" s="82" t="str">
        <x:v>Pipeline gated</x:v>
      </x:c>
      <x:c r="H12" s="82" t="str">
        <x:v>No enterprise revenue in Y1 base without a signed contract</x:v>
      </x:c>
    </x:row>
    <x:row r="13">
      <x:c r="A13" s="70" t="str">
        <x:v>CORE — enterprise ACV</x:v>
      </x:c>
      <x:c r="B13" s="84" t="n">
        <x:v>18000</x:v>
      </x:c>
      <x:c r="C13" s="84" t="n">
        <x:v>20000</x:v>
      </x:c>
      <x:c r="D13" s="84" t="n">
        <x:v>22000</x:v>
      </x:c>
      <x:c r="E13" s="70" t="str">
        <x:v>$/year</x:v>
      </x:c>
      <x:c r="F13" s="82" t="str">
        <x:v>Market assumption</x:v>
      </x:c>
      <x:c r="G13" s="82" t="str">
        <x:v>Pipeline gated</x:v>
      </x:c>
      <x:c r="H13" s="82" t="str">
        <x:v>Security, SSO, SLA and procurement required</x:v>
      </x:c>
    </x:row>
    <x:row r="14">
      <x:c r="A14" s="70" t="str">
        <x:v>CORE — new active API wallet cohort</x:v>
      </x:c>
      <x:c r="B14" s="81" t="n">
        <x:v>20</x:v>
      </x:c>
      <x:c r="C14" s="81" t="n">
        <x:v>50</x:v>
      </x:c>
      <x:c r="D14" s="81" t="n">
        <x:v>120</x:v>
      </x:c>
      <x:c r="E14" s="70" t="str">
        <x:v>new wallets</x:v>
      </x:c>
      <x:c r="F14" s="82" t="str">
        <x:v>Management case</x:v>
      </x:c>
      <x:c r="G14" s="82" t="str">
        <x:v>Reliability gated</x:v>
      </x:c>
      <x:c r="H14" s="82" t="str">
        <x:v>Gross activated wallets; usage retention modeled separately</x:v>
      </x:c>
    </x:row>
    <x:row r="15">
      <x:c r="A15" s="70" t="str">
        <x:v>CORE — API annual active-wallet retention</x:v>
      </x:c>
      <x:c r="B15" s="83" t="n">
        <x:v>0.7</x:v>
      </x:c>
      <x:c r="C15" s="83" t="n">
        <x:v>0.7</x:v>
      </x:c>
      <x:c r="D15" s="83" t="n">
        <x:v>0.7</x:v>
      </x:c>
      <x:c r="E15" s="70" t="str">
        <x:v>% retained</x:v>
      </x:c>
      <x:c r="F15" s="82" t="str">
        <x:v>Planning assumption</x:v>
      </x:c>
      <x:c r="G15" s="82" t="str">
        <x:v>Validate with wallets</x:v>
      </x:c>
      <x:c r="H15" s="82" t="str">
        <x:v>Lower than B2B logo retention because wallet usage is volatile</x:v>
      </x:c>
    </x:row>
    <x:row r="16">
      <x:c r="A16" s="70" t="str">
        <x:v>CORE — average API spend</x:v>
      </x:c>
      <x:c r="B16" s="84" t="n">
        <x:v>30</x:v>
      </x:c>
      <x:c r="C16" s="84" t="n">
        <x:v>45</x:v>
      </x:c>
      <x:c r="D16" s="84" t="n">
        <x:v>60</x:v>
      </x:c>
      <x:c r="E16" s="70" t="str">
        <x:v>$/wallet/month</x:v>
      </x:c>
      <x:c r="F16" s="82" t="str">
        <x:v>Usage assumption</x:v>
      </x:c>
      <x:c r="G16" s="82" t="str">
        <x:v>Validate with wallets</x:v>
      </x:c>
      <x:c r="H16" s="82" t="str">
        <x:v>No unearned prepaid balance recognized as revenue</x:v>
      </x:c>
    </x:row>
    <x:row r="17">
      <x:c r="A17" s="70" t="str">
        <x:v>CORE — onboarding fee per new B2B account</x:v>
      </x:c>
      <x:c r="B17" s="84" t="n">
        <x:v>1000</x:v>
      </x:c>
      <x:c r="C17" s="84" t="n">
        <x:v>900</x:v>
      </x:c>
      <x:c r="D17" s="84" t="n">
        <x:v>750</x:v>
      </x:c>
      <x:c r="E17" s="70" t="str">
        <x:v>$/new account</x:v>
      </x:c>
      <x:c r="F17" s="82" t="str">
        <x:v>Management decision</x:v>
      </x:c>
      <x:c r="G17" s="82" t="str">
        <x:v>Market anchored</x:v>
      </x:c>
      <x:c r="H17" s="82" t="str">
        <x:v>Applied only to gross new team and enterprise cohorts</x:v>
      </x:c>
    </x:row>
    <x:row r="18">
      <x:c r="A18" s="70" t="str">
        <x:v>CORE — subscription COGS</x:v>
      </x:c>
      <x:c r="B18" s="83" t="n">
        <x:v>0.35</x:v>
      </x:c>
      <x:c r="C18" s="83" t="n">
        <x:v>0.32</x:v>
      </x:c>
      <x:c r="D18" s="83" t="n">
        <x:v>0.3</x:v>
      </x:c>
      <x:c r="E18" s="70" t="str">
        <x:v>% revenue</x:v>
      </x:c>
      <x:c r="F18" s="82" t="str">
        <x:v>Conservative benchmark</x:v>
      </x:c>
      <x:c r="G18" s="82" t="str">
        <x:v>Model assumption</x:v>
      </x:c>
      <x:c r="H18" s="82" t="str">
        <x:v>Includes inference, hosting, storage and direct support</x:v>
      </x:c>
    </x:row>
    <x:row r="19">
      <x:c r="A19" s="70" t="str">
        <x:v>CORE — API COGS</x:v>
      </x:c>
      <x:c r="B19" s="83" t="n">
        <x:v>0.5</x:v>
      </x:c>
      <x:c r="C19" s="83" t="n">
        <x:v>0.45</x:v>
      </x:c>
      <x:c r="D19" s="83" t="n">
        <x:v>0.4</x:v>
      </x:c>
      <x:c r="E19" s="70" t="str">
        <x:v>% revenue</x:v>
      </x:c>
      <x:c r="F19" s="82" t="str">
        <x:v>Conservative benchmark</x:v>
      </x:c>
      <x:c r="G19" s="82" t="str">
        <x:v>Model assumption</x:v>
      </x:c>
      <x:c r="H19" s="82" t="str">
        <x:v>Usage margin starts below mature software margin</x:v>
      </x:c>
    </x:row>
    <x:row r="20">
      <x:c r="A20" s="70" t="str">
        <x:v>CORE — onboarding COGS</x:v>
      </x:c>
      <x:c r="B20" s="83" t="n">
        <x:v>0.7</x:v>
      </x:c>
      <x:c r="C20" s="83" t="n">
        <x:v>0.7</x:v>
      </x:c>
      <x:c r="D20" s="83" t="n">
        <x:v>0.7</x:v>
      </x:c>
      <x:c r="E20" s="70" t="str">
        <x:v>% revenue</x:v>
      </x:c>
      <x:c r="F20" s="82" t="str">
        <x:v>Industry benchmark</x:v>
      </x:c>
      <x:c r="G20" s="82" t="str">
        <x:v>Benchmark anchored</x:v>
      </x:c>
      <x:c r="H20" s="82" t="str">
        <x:v>Professional services modeled at 30% gross margin</x:v>
      </x:c>
    </x:row>
    <x:row r="21">
      <x:c r="A21" s="85"/>
      <x:c r="B21" s="86"/>
      <x:c r="C21" s="86"/>
      <x:c r="D21" s="86"/>
      <x:c r="E21" s="85"/>
      <x:c r="F21" s="87"/>
      <x:c r="G21" s="87"/>
      <x:c r="H21" s="87"/>
    </x:row>
    <x:row r="22">
      <x:c r="A22" s="70" t="str">
        <x:v>ENGAGE — new Starter cohort</x:v>
      </x:c>
      <x:c r="B22" s="81" t="n">
        <x:v>15</x:v>
      </x:c>
      <x:c r="C22" s="81" t="n">
        <x:v>20</x:v>
      </x:c>
      <x:c r="D22" s="81" t="n">
        <x:v>30</x:v>
      </x:c>
      <x:c r="E22" s="70" t="str">
        <x:v>new workspaces</x:v>
      </x:c>
      <x:c r="F22" s="82" t="str">
        <x:v>Management case</x:v>
      </x:c>
      <x:c r="G22" s="82" t="str">
        <x:v>Validate with cohorts</x:v>
      </x:c>
      <x:c r="H22" s="82" t="str">
        <x:v>Gross new workspaces</x:v>
      </x:c>
    </x:row>
    <x:row r="23">
      <x:c r="A23" s="70" t="str">
        <x:v>ENGAGE — Starter price</x:v>
      </x:c>
      <x:c r="B23" s="84" t="n">
        <x:v>99</x:v>
      </x:c>
      <x:c r="C23" s="84" t="n">
        <x:v>99</x:v>
      </x:c>
      <x:c r="D23" s="84" t="n">
        <x:v>99</x:v>
      </x:c>
      <x:c r="E23" s="70" t="str">
        <x:v>$/month</x:v>
      </x:c>
      <x:c r="F23" s="82" t="str">
        <x:v>Published price</x:v>
      </x:c>
      <x:c r="G23" s="82" t="str">
        <x:v>Market anchored</x:v>
      </x:c>
      <x:c r="H23" s="82" t="str">
        <x:v>Within current customer-communications market range</x:v>
      </x:c>
    </x:row>
    <x:row r="24">
      <x:c r="A24" s="70" t="str">
        <x:v>ENGAGE — new Growth cohort</x:v>
      </x:c>
      <x:c r="B24" s="84" t="n">
        <x:v>12</x:v>
      </x:c>
      <x:c r="C24" s="84" t="n">
        <x:v>25</x:v>
      </x:c>
      <x:c r="D24" s="84" t="n">
        <x:v>60</x:v>
      </x:c>
      <x:c r="E24" s="70" t="str">
        <x:v>new workspaces</x:v>
      </x:c>
      <x:c r="F24" s="82" t="str">
        <x:v>Management case</x:v>
      </x:c>
      <x:c r="G24" s="82" t="str">
        <x:v>Validate with cohorts</x:v>
      </x:c>
      <x:c r="H24" s="82" t="str">
        <x:v>Primary paid plan</x:v>
      </x:c>
    </x:row>
    <x:row r="25">
      <x:c r="A25" s="70" t="str">
        <x:v>ENGAGE — Growth price</x:v>
      </x:c>
      <x:c r="B25" s="84" t="n">
        <x:v>249</x:v>
      </x:c>
      <x:c r="C25" s="84" t="n">
        <x:v>249</x:v>
      </x:c>
      <x:c r="D25" s="84" t="n">
        <x:v>249</x:v>
      </x:c>
      <x:c r="E25" s="70" t="str">
        <x:v>$/month</x:v>
      </x:c>
      <x:c r="F25" s="82" t="str">
        <x:v>Published price</x:v>
      </x:c>
      <x:c r="G25" s="82" t="str">
        <x:v>Market anchored</x:v>
      </x:c>
      <x:c r="H25" s="82" t="str">
        <x:v>Within respond.io / Gorgias price bands</x:v>
      </x:c>
    </x:row>
    <x:row r="26">
      <x:c r="A26" s="70" t="str">
        <x:v>ENGAGE — new Scale cohort</x:v>
      </x:c>
      <x:c r="B26" s="84" t="n">
        <x:v>3</x:v>
      </x:c>
      <x:c r="C26" s="84" t="n">
        <x:v>5</x:v>
      </x:c>
      <x:c r="D26" s="84" t="n">
        <x:v>12</x:v>
      </x:c>
      <x:c r="E26" s="70" t="str">
        <x:v>new workspaces</x:v>
      </x:c>
      <x:c r="F26" s="82" t="str">
        <x:v>Management case</x:v>
      </x:c>
      <x:c r="G26" s="82" t="str">
        <x:v>Validate with cohorts</x:v>
      </x:c>
      <x:c r="H26" s="82" t="str">
        <x:v>Higher-support segment</x:v>
      </x:c>
    </x:row>
    <x:row r="27">
      <x:c r="A27" s="70" t="str">
        <x:v>ENGAGE — Scale price</x:v>
      </x:c>
      <x:c r="B27" s="84" t="n">
        <x:v>599</x:v>
      </x:c>
      <x:c r="C27" s="84" t="n">
        <x:v>599</x:v>
      </x:c>
      <x:c r="D27" s="84" t="n">
        <x:v>599</x:v>
      </x:c>
      <x:c r="E27" s="70" t="str">
        <x:v>$/month</x:v>
      </x:c>
      <x:c r="F27" s="82" t="str">
        <x:v>Published price</x:v>
      </x:c>
      <x:c r="G27" s="82" t="str">
        <x:v>Market anchored</x:v>
      </x:c>
      <x:c r="H27" s="82" t="str">
        <x:v>Between mid-market and advanced support platforms</x:v>
      </x:c>
    </x:row>
    <x:row r="28">
      <x:c r="A28" s="70" t="str">
        <x:v>ENGAGE — new Enterprise cohort</x:v>
      </x:c>
      <x:c r="B28" s="84" t="n">
        <x:v>0</x:v>
      </x:c>
      <x:c r="C28" s="84" t="n">
        <x:v>1</x:v>
      </x:c>
      <x:c r="D28" s="84" t="n">
        <x:v>2</x:v>
      </x:c>
      <x:c r="E28" s="70" t="str">
        <x:v>new contracts</x:v>
      </x:c>
      <x:c r="F28" s="82" t="str">
        <x:v>Management case</x:v>
      </x:c>
      <x:c r="G28" s="82" t="str">
        <x:v>Pipeline gated</x:v>
      </x:c>
      <x:c r="H28" s="82" t="str">
        <x:v>No enterprise revenue in Y1 base</x:v>
      </x:c>
    </x:row>
    <x:row r="29">
      <x:c r="A29" s="70" t="str">
        <x:v>ENGAGE — Enterprise monthly ARPA</x:v>
      </x:c>
      <x:c r="B29" s="84" t="n">
        <x:v>1000</x:v>
      </x:c>
      <x:c r="C29" s="84" t="n">
        <x:v>1000</x:v>
      </x:c>
      <x:c r="D29" s="84" t="n">
        <x:v>1000</x:v>
      </x:c>
      <x:c r="E29" s="70" t="str">
        <x:v>$/month</x:v>
      </x:c>
      <x:c r="F29" s="82" t="str">
        <x:v>Published floor</x:v>
      </x:c>
      <x:c r="G29" s="82" t="str">
        <x:v>Market anchored</x:v>
      </x:c>
      <x:c r="H29" s="82" t="str">
        <x:v>$12k minimum ACV</x:v>
      </x:c>
    </x:row>
    <x:row r="30">
      <x:c r="A30" s="70" t="str">
        <x:v>ENGAGE — B2B annual logo retention</x:v>
      </x:c>
      <x:c r="B30" s="83" t="n">
        <x:v>0.9</x:v>
      </x:c>
      <x:c r="C30" s="83" t="n">
        <x:v>0.9</x:v>
      </x:c>
      <x:c r="D30" s="83" t="n">
        <x:v>0.9</x:v>
      </x:c>
      <x:c r="E30" s="70" t="str">
        <x:v>% retained</x:v>
      </x:c>
      <x:c r="F30" s="82" t="str">
        <x:v>Management target</x:v>
      </x:c>
      <x:c r="G30" s="82" t="str">
        <x:v>Conditional target</x:v>
      </x:c>
      <x:c r="H30" s="82" t="str">
        <x:v>Applied cohort-by-cohort; requires annual commitment and embedded workflow</x:v>
      </x:c>
    </x:row>
    <x:row r="31">
      <x:c r="A31" s="70" t="str">
        <x:v>ENGAGE — usage / add-on revenue</x:v>
      </x:c>
      <x:c r="B31" s="83" t="n">
        <x:v>0</x:v>
      </x:c>
      <x:c r="C31" s="83" t="n">
        <x:v>0</x:v>
      </x:c>
      <x:c r="D31" s="83" t="n">
        <x:v>0.03</x:v>
      </x:c>
      <x:c r="E31" s="70" t="str">
        <x:v>% subscription</x:v>
      </x:c>
      <x:c r="F31" s="82" t="str">
        <x:v>Conservative assumption</x:v>
      </x:c>
      <x:c r="G31" s="82" t="str">
        <x:v>Evidence gated</x:v>
      </x:c>
      <x:c r="H31" s="82" t="str">
        <x:v>No usage uplift before observed overage behavior</x:v>
      </x:c>
    </x:row>
    <x:row r="32">
      <x:c r="A32" s="70" t="str">
        <x:v>ENGAGE — standard onboarding fee</x:v>
      </x:c>
      <x:c r="B32" s="81" t="n">
        <x:v>600</x:v>
      </x:c>
      <x:c r="C32" s="81" t="n">
        <x:v>500</x:v>
      </x:c>
      <x:c r="D32" s="81" t="n">
        <x:v>400</x:v>
      </x:c>
      <x:c r="E32" s="70" t="str">
        <x:v>$/new workspace</x:v>
      </x:c>
      <x:c r="F32" s="82" t="str">
        <x:v>Management decision</x:v>
      </x:c>
      <x:c r="G32" s="82" t="str">
        <x:v>Market anchored</x:v>
      </x:c>
      <x:c r="H32" s="82" t="str">
        <x:v>Only gross new workspaces are charged</x:v>
      </x:c>
    </x:row>
    <x:row r="33">
      <x:c r="A33" s="70" t="str">
        <x:v>ENGAGE — enterprise onboarding fee</x:v>
      </x:c>
      <x:c r="B33" s="81" t="n">
        <x:v>3000</x:v>
      </x:c>
      <x:c r="C33" s="81" t="n">
        <x:v>4000</x:v>
      </x:c>
      <x:c r="D33" s="81" t="n">
        <x:v>5000</x:v>
      </x:c>
      <x:c r="E33" s="70" t="str">
        <x:v>$/new contract</x:v>
      </x:c>
      <x:c r="F33" s="82" t="str">
        <x:v>Management decision</x:v>
      </x:c>
      <x:c r="G33" s="82" t="str">
        <x:v>Pipeline gated</x:v>
      </x:c>
      <x:c r="H33" s="82" t="str">
        <x:v>Integration and security scope</x:v>
      </x:c>
    </x:row>
    <x:row r="34">
      <x:c r="A34" s="70" t="str">
        <x:v>ENGAGE — subscription COGS</x:v>
      </x:c>
      <x:c r="B34" s="83" t="n">
        <x:v>0.35</x:v>
      </x:c>
      <x:c r="C34" s="83" t="n">
        <x:v>0.32</x:v>
      </x:c>
      <x:c r="D34" s="83" t="n">
        <x:v>0.3</x:v>
      </x:c>
      <x:c r="E34" s="70" t="str">
        <x:v>% revenue</x:v>
      </x:c>
      <x:c r="F34" s="82" t="str">
        <x:v>Conservative benchmark</x:v>
      </x:c>
      <x:c r="G34" s="82" t="str">
        <x:v>Model assumption</x:v>
      </x:c>
      <x:c r="H34" s="82" t="str">
        <x:v>Includes AI, hosting and direct support</x:v>
      </x:c>
    </x:row>
    <x:row r="35">
      <x:c r="A35" s="70" t="str">
        <x:v>ENGAGE — usage COGS</x:v>
      </x:c>
      <x:c r="B35" s="83" t="n">
        <x:v>0.4</x:v>
      </x:c>
      <x:c r="C35" s="83" t="n">
        <x:v>0.4</x:v>
      </x:c>
      <x:c r="D35" s="83" t="n">
        <x:v>0.4</x:v>
      </x:c>
      <x:c r="E35" s="70" t="str">
        <x:v>% revenue</x:v>
      </x:c>
      <x:c r="F35" s="82" t="str">
        <x:v>Planning assumption</x:v>
      </x:c>
      <x:c r="G35" s="82" t="str">
        <x:v>Model assumption</x:v>
      </x:c>
      <x:c r="H35" s="82" t="str">
        <x:v>Usage layer margin</x:v>
      </x:c>
    </x:row>
    <x:row r="36">
      <x:c r="A36" s="70" t="str">
        <x:v>ENGAGE — onboarding COGS</x:v>
      </x:c>
      <x:c r="B36" s="83" t="n">
        <x:v>0.7</x:v>
      </x:c>
      <x:c r="C36" s="83" t="n">
        <x:v>0.7</x:v>
      </x:c>
      <x:c r="D36" s="83" t="n">
        <x:v>0.7</x:v>
      </x:c>
      <x:c r="E36" s="70" t="str">
        <x:v>% revenue</x:v>
      </x:c>
      <x:c r="F36" s="82" t="str">
        <x:v>Industry benchmark</x:v>
      </x:c>
      <x:c r="G36" s="82" t="str">
        <x:v>Benchmark anchored</x:v>
      </x:c>
      <x:c r="H36" s="82" t="str">
        <x:v>Professional services modeled at 30% gross margin</x:v>
      </x:c>
    </x:row>
  </x:sheetData>
  <x:mergeCells>
    <x:mergeCell ref="A1:H1"/>
    <x:mergeCell ref="A2:H2"/>
  </x:mergeCells>
  <x:pageMargins left="0.7" right="0.7" top="0.75" bottom="0.75" header="0.3" footer="0.3"/>
  <x:legacyDrawing xmlns:r="http://schemas.openxmlformats.org/officeDocument/2006/relationships" r:id="R0c14a5a269af47cc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8" hidden="0" customWidth="1"/>
    <x:col min="5" max="5" width="18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</x:cols>
  <x:sheetData>
    <x:row r="1" ht="30" customHeight="1">
      <x:c r="A1" s="64" t="str">
        <x:v>Customer Cohort Bridge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</x:row>
    <x:row r="2" ht="24" customHeight="1">
      <x:c r="A2" s="66" t="str">
        <x:v>Ending active customers = retained prior cohorts + new cohort. B2B rows use the requested 90% annual retention base.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  <x:c r="J3" s="67"/>
      <x:c r="K3" s="67"/>
    </x:row>
    <x:row r="4">
      <x:c r="A4" s="69" t="str">
        <x:v>Stream</x:v>
      </x:c>
      <x:c r="B4" s="69" t="str">
        <x:v>Retention</x:v>
      </x:c>
      <x:c r="C4" s="69" t="str">
        <x:v>Y1 new</x:v>
      </x:c>
      <x:c r="D4" s="69" t="str">
        <x:v>Y1 retained in Y2</x:v>
      </x:c>
      <x:c r="E4" s="69" t="str">
        <x:v>Y1 retained in Y3</x:v>
      </x:c>
      <x:c r="F4" s="69" t="str">
        <x:v>Y2 new</x:v>
      </x:c>
      <x:c r="G4" s="69" t="str">
        <x:v>Y2 retained in Y3</x:v>
      </x:c>
      <x:c r="H4" s="69" t="str">
        <x:v>Y3 new</x:v>
      </x:c>
      <x:c r="I4" s="69" t="str">
        <x:v>End Y1</x:v>
      </x:c>
      <x:c r="J4" s="69" t="str">
        <x:v>End Y2</x:v>
      </x:c>
      <x:c r="K4" s="69" t="str">
        <x:v>End Y3</x:v>
      </x:c>
    </x:row>
    <x:row r="5">
      <x:c r="A5" s="70" t="str">
        <x:v>Core individuals</x:v>
      </x:c>
      <x:c r="B5" s="79" t="n">
        <x:f>'Assumptions'!$C$6</x:f>
        <x:v>0.6</x:v>
      </x:c>
      <x:c r="C5" s="88" t="n">
        <x:f>'Assumptions'!$B$5</x:f>
        <x:v>100</x:v>
      </x:c>
      <x:c r="D5" s="88" t="n">
        <x:f>C5*'Assumptions'!$C$6</x:f>
        <x:v>60</x:v>
      </x:c>
      <x:c r="E5" s="88" t="n">
        <x:f>D5*'Assumptions'!$D$6</x:f>
        <x:v>36</x:v>
      </x:c>
      <x:c r="F5" s="88" t="n">
        <x:f>'Assumptions'!$C$5</x:f>
        <x:v>250</x:v>
      </x:c>
      <x:c r="G5" s="88" t="n">
        <x:f>F5*'Assumptions'!$D$6</x:f>
        <x:v>150</x:v>
      </x:c>
      <x:c r="H5" s="88" t="n">
        <x:f>'Assumptions'!$D$5</x:f>
        <x:v>500</x:v>
      </x:c>
      <x:c r="I5" s="88" t="n">
        <x:f>C5</x:f>
        <x:v>100</x:v>
      </x:c>
      <x:c r="J5" s="88" t="n">
        <x:f>D5+F5</x:f>
        <x:v>310</x:v>
      </x:c>
      <x:c r="K5" s="88" t="n">
        <x:f>E5+G5+H5</x:f>
        <x:v>686</x:v>
      </x:c>
    </x:row>
    <x:row r="6">
      <x:c r="A6" s="70" t="str">
        <x:v>Core team workspaces</x:v>
      </x:c>
      <x:c r="B6" s="79" t="n">
        <x:f>'Assumptions'!$C$9</x:f>
        <x:v>0.9</x:v>
      </x:c>
      <x:c r="C6" s="88" t="n">
        <x:f>'Assumptions'!$B$8</x:f>
        <x:v>20</x:v>
      </x:c>
      <x:c r="D6" s="88" t="n">
        <x:f>C6*'Assumptions'!$C$9</x:f>
        <x:v>18</x:v>
      </x:c>
      <x:c r="E6" s="88" t="n">
        <x:f>D6*'Assumptions'!$D$9</x:f>
        <x:v>16.2</x:v>
      </x:c>
      <x:c r="F6" s="88" t="n">
        <x:f>'Assumptions'!$C$8</x:f>
        <x:v>30</x:v>
      </x:c>
      <x:c r="G6" s="88" t="n">
        <x:f>F6*'Assumptions'!$D$9</x:f>
        <x:v>27</x:v>
      </x:c>
      <x:c r="H6" s="88" t="n">
        <x:f>'Assumptions'!$D$8</x:f>
        <x:v>60</x:v>
      </x:c>
      <x:c r="I6" s="88" t="n">
        <x:f>C6</x:f>
        <x:v>20</x:v>
      </x:c>
      <x:c r="J6" s="88" t="n">
        <x:f>D6+F6</x:f>
        <x:v>48</x:v>
      </x:c>
      <x:c r="K6" s="88" t="n">
        <x:f>E6+G6+H6</x:f>
        <x:v>103.2</x:v>
      </x:c>
    </x:row>
    <x:row r="7">
      <x:c r="A7" s="70" t="str">
        <x:v>Core enterprise</x:v>
      </x:c>
      <x:c r="B7" s="79" t="n">
        <x:f>'Assumptions'!$C$9</x:f>
        <x:v>0.9</x:v>
      </x:c>
      <x:c r="C7" s="88" t="n">
        <x:f>'Assumptions'!$B$12</x:f>
        <x:v>0</x:v>
      </x:c>
      <x:c r="D7" s="88" t="n">
        <x:f>C7*'Assumptions'!$C$9</x:f>
        <x:v>0</x:v>
      </x:c>
      <x:c r="E7" s="88" t="n">
        <x:f>D7*'Assumptions'!$D$9</x:f>
        <x:v>0</x:v>
      </x:c>
      <x:c r="F7" s="88" t="n">
        <x:f>'Assumptions'!$C$12</x:f>
        <x:v>1</x:v>
      </x:c>
      <x:c r="G7" s="88" t="n">
        <x:f>F7*'Assumptions'!$D$9</x:f>
        <x:v>0.9</x:v>
      </x:c>
      <x:c r="H7" s="88" t="n">
        <x:f>'Assumptions'!$D$12</x:f>
        <x:v>3</x:v>
      </x:c>
      <x:c r="I7" s="88" t="n">
        <x:f>C7</x:f>
        <x:v>0</x:v>
      </x:c>
      <x:c r="J7" s="88" t="n">
        <x:f>D7+F7</x:f>
        <x:v>1</x:v>
      </x:c>
      <x:c r="K7" s="88" t="n">
        <x:f>E7+G7+H7</x:f>
        <x:v>3.9</x:v>
      </x:c>
    </x:row>
    <x:row r="8">
      <x:c r="A8" s="70" t="str">
        <x:v>Core API wallets</x:v>
      </x:c>
      <x:c r="B8" s="79" t="n">
        <x:f>'Assumptions'!$C$15</x:f>
        <x:v>0.7</x:v>
      </x:c>
      <x:c r="C8" s="88" t="n">
        <x:f>'Assumptions'!$B$14</x:f>
        <x:v>20</x:v>
      </x:c>
      <x:c r="D8" s="88" t="n">
        <x:f>C8*'Assumptions'!$C$15</x:f>
        <x:v>14</x:v>
      </x:c>
      <x:c r="E8" s="88" t="n">
        <x:f>D8*'Assumptions'!$D$15</x:f>
        <x:v>9.799999999999999</x:v>
      </x:c>
      <x:c r="F8" s="88" t="n">
        <x:f>'Assumptions'!$C$14</x:f>
        <x:v>50</x:v>
      </x:c>
      <x:c r="G8" s="88" t="n">
        <x:f>F8*'Assumptions'!$D$15</x:f>
        <x:v>35</x:v>
      </x:c>
      <x:c r="H8" s="88" t="n">
        <x:f>'Assumptions'!$D$14</x:f>
        <x:v>120</x:v>
      </x:c>
      <x:c r="I8" s="88" t="n">
        <x:f>C8</x:f>
        <x:v>20</x:v>
      </x:c>
      <x:c r="J8" s="88" t="n">
        <x:f>D8+F8</x:f>
        <x:v>64</x:v>
      </x:c>
      <x:c r="K8" s="88" t="n">
        <x:f>E8+G8+H8</x:f>
        <x:v>164.8</x:v>
      </x:c>
    </x:row>
    <x:row r="9">
      <x:c r="A9" s="70" t="str">
        <x:v>Engage Starter</x:v>
      </x:c>
      <x:c r="B9" s="79" t="n">
        <x:f>'Assumptions'!$C$30</x:f>
        <x:v>0.9</x:v>
      </x:c>
      <x:c r="C9" s="88" t="n">
        <x:f>'Assumptions'!$B$22</x:f>
        <x:v>15</x:v>
      </x:c>
      <x:c r="D9" s="88" t="n">
        <x:f>C9*'Assumptions'!$C$30</x:f>
        <x:v>13.5</x:v>
      </x:c>
      <x:c r="E9" s="88" t="n">
        <x:f>D9*'Assumptions'!$D$30</x:f>
        <x:v>12.15</x:v>
      </x:c>
      <x:c r="F9" s="88" t="n">
        <x:f>'Assumptions'!$C$22</x:f>
        <x:v>20</x:v>
      </x:c>
      <x:c r="G9" s="88" t="n">
        <x:f>F9*'Assumptions'!$D$30</x:f>
        <x:v>18</x:v>
      </x:c>
      <x:c r="H9" s="88" t="n">
        <x:f>'Assumptions'!$D$22</x:f>
        <x:v>30</x:v>
      </x:c>
      <x:c r="I9" s="88" t="n">
        <x:f>C9</x:f>
        <x:v>15</x:v>
      </x:c>
      <x:c r="J9" s="88" t="n">
        <x:f>D9+F9</x:f>
        <x:v>33.5</x:v>
      </x:c>
      <x:c r="K9" s="88" t="n">
        <x:f>E9+G9+H9</x:f>
        <x:v>60.15</x:v>
      </x:c>
    </x:row>
    <x:row r="10">
      <x:c r="A10" s="70" t="str">
        <x:v>Engage Growth</x:v>
      </x:c>
      <x:c r="B10" s="79" t="n">
        <x:f>'Assumptions'!$C$30</x:f>
        <x:v>0.9</x:v>
      </x:c>
      <x:c r="C10" s="88" t="n">
        <x:f>'Assumptions'!$B$24</x:f>
        <x:v>12</x:v>
      </x:c>
      <x:c r="D10" s="88" t="n">
        <x:f>C10*'Assumptions'!$C$30</x:f>
        <x:v>10.8</x:v>
      </x:c>
      <x:c r="E10" s="88" t="n">
        <x:f>D10*'Assumptions'!$D$30</x:f>
        <x:v>9.72</x:v>
      </x:c>
      <x:c r="F10" s="88" t="n">
        <x:f>'Assumptions'!$C$24</x:f>
        <x:v>25</x:v>
      </x:c>
      <x:c r="G10" s="88" t="n">
        <x:f>F10*'Assumptions'!$D$30</x:f>
        <x:v>22.5</x:v>
      </x:c>
      <x:c r="H10" s="88" t="n">
        <x:f>'Assumptions'!$D$24</x:f>
        <x:v>60</x:v>
      </x:c>
      <x:c r="I10" s="88" t="n">
        <x:f>C10</x:f>
        <x:v>12</x:v>
      </x:c>
      <x:c r="J10" s="88" t="n">
        <x:f>D10+F10</x:f>
        <x:v>35.8</x:v>
      </x:c>
      <x:c r="K10" s="88" t="n">
        <x:f>E10+G10+H10</x:f>
        <x:v>92.22</x:v>
      </x:c>
    </x:row>
    <x:row r="11">
      <x:c r="A11" s="70" t="str">
        <x:v>Engage Scale</x:v>
      </x:c>
      <x:c r="B11" s="79" t="n">
        <x:f>'Assumptions'!$C$30</x:f>
        <x:v>0.9</x:v>
      </x:c>
      <x:c r="C11" s="88" t="n">
        <x:f>'Assumptions'!$B$26</x:f>
        <x:v>3</x:v>
      </x:c>
      <x:c r="D11" s="88" t="n">
        <x:f>C11*'Assumptions'!$C$30</x:f>
        <x:v>2.7</x:v>
      </x:c>
      <x:c r="E11" s="88" t="n">
        <x:f>D11*'Assumptions'!$D$30</x:f>
        <x:v>2.43</x:v>
      </x:c>
      <x:c r="F11" s="88" t="n">
        <x:f>'Assumptions'!$C$26</x:f>
        <x:v>5</x:v>
      </x:c>
      <x:c r="G11" s="88" t="n">
        <x:f>F11*'Assumptions'!$D$30</x:f>
        <x:v>4.5</x:v>
      </x:c>
      <x:c r="H11" s="88" t="n">
        <x:f>'Assumptions'!$D$26</x:f>
        <x:v>12</x:v>
      </x:c>
      <x:c r="I11" s="88" t="n">
        <x:f>C11</x:f>
        <x:v>3</x:v>
      </x:c>
      <x:c r="J11" s="88" t="n">
        <x:f>D11+F11</x:f>
        <x:v>7.7</x:v>
      </x:c>
      <x:c r="K11" s="88" t="n">
        <x:f>E11+G11+H11</x:f>
        <x:v>18.93</x:v>
      </x:c>
    </x:row>
    <x:row r="12">
      <x:c r="A12" s="70" t="str">
        <x:v>Engage Enterprise</x:v>
      </x:c>
      <x:c r="B12" s="79" t="n">
        <x:f>'Assumptions'!$C$30</x:f>
        <x:v>0.9</x:v>
      </x:c>
      <x:c r="C12" s="88" t="n">
        <x:f>'Assumptions'!$B$28</x:f>
        <x:v>0</x:v>
      </x:c>
      <x:c r="D12" s="88" t="n">
        <x:f>C12*'Assumptions'!$C$30</x:f>
        <x:v>0</x:v>
      </x:c>
      <x:c r="E12" s="88" t="n">
        <x:f>D12*'Assumptions'!$D$30</x:f>
        <x:v>0</x:v>
      </x:c>
      <x:c r="F12" s="88" t="n">
        <x:f>'Assumptions'!$C$28</x:f>
        <x:v>1</x:v>
      </x:c>
      <x:c r="G12" s="88" t="n">
        <x:f>F12*'Assumptions'!$D$30</x:f>
        <x:v>0.9</x:v>
      </x:c>
      <x:c r="H12" s="88" t="n">
        <x:f>'Assumptions'!$D$28</x:f>
        <x:v>2</x:v>
      </x:c>
      <x:c r="I12" s="88" t="n">
        <x:f>C12</x:f>
        <x:v>0</x:v>
      </x:c>
      <x:c r="J12" s="88" t="n">
        <x:f>D12+F12</x:f>
        <x:v>1</x:v>
      </x:c>
      <x:c r="K12" s="88" t="n">
        <x:f>E12+G12+H12</x:f>
        <x:v>2.9</x:v>
      </x:c>
    </x:row>
    <x:row r="13">
      <x:c r="A13" s="67"/>
      <x:c r="B13" s="67"/>
      <x:c r="C13" s="67"/>
      <x:c r="D13" s="67"/>
      <x:c r="E13" s="67"/>
      <x:c r="F13" s="67"/>
      <x:c r="G13" s="67"/>
      <x:c r="H13" s="67"/>
      <x:c r="I13" s="67"/>
      <x:c r="J13" s="67"/>
      <x:c r="K13" s="67"/>
    </x:row>
    <x:row r="14">
      <x:c r="A14" s="80" t="str">
        <x:v>Example: Y3 ending team workspaces = Y1 cohort × 90% × 90% + Y2 cohort × 90% + Y3 new cohort.</x:v>
      </x:c>
      <x:c r="B14" s="80"/>
      <x:c r="C14" s="80"/>
      <x:c r="D14" s="80"/>
      <x:c r="E14" s="80"/>
      <x:c r="F14" s="80"/>
      <x:c r="G14" s="80"/>
      <x:c r="H14" s="80"/>
      <x:c r="I14" s="80"/>
      <x:c r="J14" s="80"/>
      <x:c r="K14" s="80"/>
    </x:row>
  </x:sheetData>
  <x:mergeCells>
    <x:mergeCell ref="A1:K1"/>
    <x:mergeCell ref="A2:K2"/>
    <x:mergeCell ref="A14:K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12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2" hidden="0" customWidth="1"/>
    <x:col min="14" max="14" width="14" hidden="0" customWidth="1"/>
    <x:col min="15" max="15" width="13" hidden="0" customWidth="1"/>
    <x:col min="16" max="16" width="13" hidden="0" customWidth="1"/>
    <x:col min="17" max="17" width="14" hidden="0" customWidth="1"/>
    <x:col min="18" max="18" width="15" hidden="0" customWidth="1"/>
    <x:col min="19" max="19" width="15" hidden="0" customWidth="1"/>
    <x:col min="20" max="20" width="14" hidden="0" customWidth="1"/>
    <x:col min="21" max="21" width="15" hidden="0" customWidth="1"/>
  </x:cols>
  <x:sheetData>
    <x:row r="1" ht="30" customHeight="1">
      <x:c r="A1" s="64" t="str">
        <x:v>MIMAR Core — Monthly Cohort Revenue Build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</x:row>
    <x:row r="2" ht="24" customHeight="1">
      <x:c r="A2" s="66" t="str">
        <x:v>Each annual cohort ramps during its acquisition year, then is retained explicitly at the next year boundary.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  <x:c r="P2" s="65"/>
      <x:c r="Q2" s="65"/>
      <x:c r="R2" s="65"/>
      <x:c r="S2" s="65"/>
      <x:c r="T2" s="65"/>
      <x:c r="U2" s="65"/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  <x:c r="M3" s="67"/>
      <x:c r="N3" s="67"/>
      <x:c r="O3" s="67"/>
      <x:c r="P3" s="67"/>
      <x:c r="Q3" s="67"/>
      <x:c r="R3" s="67"/>
      <x:c r="S3" s="67"/>
      <x:c r="T3" s="67"/>
      <x:c r="U3" s="67"/>
    </x:row>
    <x:row r="4" ht="38" customHeight="1">
      <x:c r="A4" s="89" t="str">
        <x:v>Month</x:v>
      </x:c>
      <x:c r="B4" s="89" t="str">
        <x:v>Year</x:v>
      </x:c>
      <x:c r="C4" s="89" t="str">
        <x:v>Month in year</x:v>
      </x:c>
      <x:c r="D4" s="89" t="str">
        <x:v>Active individuals</x:v>
      </x:c>
      <x:c r="E4" s="89" t="str">
        <x:v>Individual rev.</x:v>
      </x:c>
      <x:c r="F4" s="89" t="str">
        <x:v>Active team accts</x:v>
      </x:c>
      <x:c r="G4" s="89" t="str">
        <x:v>Seats / team</x:v>
      </x:c>
      <x:c r="H4" s="89" t="str">
        <x:v>Seat price</x:v>
      </x:c>
      <x:c r="I4" s="89" t="str">
        <x:v>Team rev.</x:v>
      </x:c>
      <x:c r="J4" s="89" t="str">
        <x:v>Enterprise accts</x:v>
      </x:c>
      <x:c r="K4" s="89" t="str">
        <x:v>Enterprise ACV</x:v>
      </x:c>
      <x:c r="L4" s="89" t="str">
        <x:v>Enterprise rev.</x:v>
      </x:c>
      <x:c r="M4" s="89" t="str">
        <x:v>API wallets</x:v>
      </x:c>
      <x:c r="N4" s="89" t="str">
        <x:v>Spend / wallet</x:v>
      </x:c>
      <x:c r="O4" s="89" t="str">
        <x:v>API rev.</x:v>
      </x:c>
      <x:c r="P4" s="89" t="str">
        <x:v>New B2B accts</x:v>
      </x:c>
      <x:c r="Q4" s="89" t="str">
        <x:v>Onboarding fee</x:v>
      </x:c>
      <x:c r="R4" s="89" t="str">
        <x:v>Onboarding rev.</x:v>
      </x:c>
      <x:c r="S4" s="89" t="str">
        <x:v>CORE REVENUE</x:v>
      </x:c>
      <x:c r="T4" s="89" t="str">
        <x:v>COGS</x:v>
      </x:c>
      <x:c r="U4" s="89" t="str">
        <x:v>GROSS PROFIT</x:v>
      </x:c>
    </x:row>
    <x:row r="5">
      <x:c r="A5" s="90" t="n">
        <x:v>46266</x:v>
      </x:c>
      <x:c r="B5" s="91" t="n">
        <x:v>1</x:v>
      </x:c>
      <x:c r="C5" s="91" t="n">
        <x:v>1</x:v>
      </x:c>
      <x:c r="D5" s="92" t="n">
        <x:f>'Assumptions'!$B$5*1/12</x:f>
        <x:v>8.333333333333334</x:v>
      </x:c>
      <x:c r="E5" s="93" t="n">
        <x:f>D5*'Assumptions'!$B$7</x:f>
        <x:v>133.33333333333334</x:v>
      </x:c>
      <x:c r="F5" s="92" t="n">
        <x:f>'Assumptions'!$B$8*1/12</x:f>
        <x:v>1.6666666666666667</x:v>
      </x:c>
      <x:c r="G5" s="92" t="n">
        <x:f>'Assumptions'!$B$10</x:f>
        <x:v>8</x:v>
      </x:c>
      <x:c r="H5" s="93" t="n">
        <x:f>'Assumptions'!$B$11</x:f>
        <x:v>20</x:v>
      </x:c>
      <x:c r="I5" s="93" t="n">
        <x:f>F5*G5*H5</x:f>
        <x:v>266.6666666666667</x:v>
      </x:c>
      <x:c r="J5" s="92" t="n">
        <x:f>'Assumptions'!$B$12*1/12</x:f>
        <x:v>0</x:v>
      </x:c>
      <x:c r="K5" s="93" t="n">
        <x:f>'Assumptions'!$B$13</x:f>
        <x:v>18000</x:v>
      </x:c>
      <x:c r="L5" s="93" t="n">
        <x:f>J5*K5/12</x:f>
        <x:v>0</x:v>
      </x:c>
      <x:c r="M5" s="92" t="n">
        <x:f>'Assumptions'!$B$14*1/12</x:f>
        <x:v>1.6666666666666667</x:v>
      </x:c>
      <x:c r="N5" s="93" t="n">
        <x:f>'Assumptions'!$B$16</x:f>
        <x:v>30</x:v>
      </x:c>
      <x:c r="O5" s="93" t="n">
        <x:f>M5*N5</x:f>
        <x:v>50</x:v>
      </x:c>
      <x:c r="P5" s="92" t="n">
        <x:f>('Assumptions'!$B$8+'Assumptions'!$B$12)/12</x:f>
        <x:v>1.6666666666666667</x:v>
      </x:c>
      <x:c r="Q5" s="93" t="n">
        <x:f>'Assumptions'!$B$17</x:f>
        <x:v>1000</x:v>
      </x:c>
      <x:c r="R5" s="93" t="n">
        <x:f>P5*Q5</x:f>
        <x:v>1666.6666666666667</x:v>
      </x:c>
      <x:c r="S5" s="93" t="n">
        <x:f>SUM(E5,I5,L5,O5,R5)</x:f>
        <x:v>2116.666666666667</x:v>
      </x:c>
      <x:c r="T5" s="93" t="n">
        <x:f>(E5+I5+L5)*'Assumptions'!$B$18+O5*'Assumptions'!$B$19+R5*'Assumptions'!$B$20</x:f>
        <x:v>1331.6666666666667</x:v>
      </x:c>
      <x:c r="U5" s="93" t="n">
        <x:f>S5-T5</x:f>
        <x:v>785.0000000000002</x:v>
      </x:c>
    </x:row>
    <x:row r="6">
      <x:c r="A6" s="90" t="n">
        <x:v>46296</x:v>
      </x:c>
      <x:c r="B6" s="91" t="n">
        <x:v>1</x:v>
      </x:c>
      <x:c r="C6" s="91" t="n">
        <x:v>2</x:v>
      </x:c>
      <x:c r="D6" s="92" t="n">
        <x:f>'Assumptions'!$B$5*2/12</x:f>
        <x:v>16.666666666666668</x:v>
      </x:c>
      <x:c r="E6" s="93" t="n">
        <x:f>D6*'Assumptions'!$B$7</x:f>
        <x:v>266.6666666666667</x:v>
      </x:c>
      <x:c r="F6" s="92" t="n">
        <x:f>'Assumptions'!$B$8*2/12</x:f>
        <x:v>3.3333333333333335</x:v>
      </x:c>
      <x:c r="G6" s="92" t="n">
        <x:f>'Assumptions'!$B$10</x:f>
        <x:v>8</x:v>
      </x:c>
      <x:c r="H6" s="93" t="n">
        <x:f>'Assumptions'!$B$11</x:f>
        <x:v>20</x:v>
      </x:c>
      <x:c r="I6" s="93" t="n">
        <x:f>F6*G6*H6</x:f>
        <x:v>533.3333333333334</x:v>
      </x:c>
      <x:c r="J6" s="92" t="n">
        <x:f>'Assumptions'!$B$12*2/12</x:f>
        <x:v>0</x:v>
      </x:c>
      <x:c r="K6" s="93" t="n">
        <x:f>'Assumptions'!$B$13</x:f>
        <x:v>18000</x:v>
      </x:c>
      <x:c r="L6" s="93" t="n">
        <x:f>J6*K6/12</x:f>
        <x:v>0</x:v>
      </x:c>
      <x:c r="M6" s="92" t="n">
        <x:f>'Assumptions'!$B$14*2/12</x:f>
        <x:v>3.3333333333333335</x:v>
      </x:c>
      <x:c r="N6" s="93" t="n">
        <x:f>'Assumptions'!$B$16</x:f>
        <x:v>30</x:v>
      </x:c>
      <x:c r="O6" s="93" t="n">
        <x:f>M6*N6</x:f>
        <x:v>100</x:v>
      </x:c>
      <x:c r="P6" s="92" t="n">
        <x:f>('Assumptions'!$B$8+'Assumptions'!$B$12)/12</x:f>
        <x:v>1.6666666666666667</x:v>
      </x:c>
      <x:c r="Q6" s="93" t="n">
        <x:f>'Assumptions'!$B$17</x:f>
        <x:v>1000</x:v>
      </x:c>
      <x:c r="R6" s="93" t="n">
        <x:f>P6*Q6</x:f>
        <x:v>1666.6666666666667</x:v>
      </x:c>
      <x:c r="S6" s="93" t="n">
        <x:f>SUM(E6,I6,L6,O6,R6)</x:f>
        <x:v>2566.666666666667</x:v>
      </x:c>
      <x:c r="T6" s="93" t="n">
        <x:f>(E6+I6+L6)*'Assumptions'!$B$18+O6*'Assumptions'!$B$19+R6*'Assumptions'!$B$20</x:f>
        <x:v>1496.6666666666667</x:v>
      </x:c>
      <x:c r="U6" s="93" t="n">
        <x:f>S6-T6</x:f>
        <x:v>1070.0000000000002</x:v>
      </x:c>
    </x:row>
    <x:row r="7">
      <x:c r="A7" s="90" t="n">
        <x:v>46327</x:v>
      </x:c>
      <x:c r="B7" s="91" t="n">
        <x:v>1</x:v>
      </x:c>
      <x:c r="C7" s="91" t="n">
        <x:v>3</x:v>
      </x:c>
      <x:c r="D7" s="92" t="n">
        <x:f>'Assumptions'!$B$5*3/12</x:f>
        <x:v>25</x:v>
      </x:c>
      <x:c r="E7" s="93" t="n">
        <x:f>D7*'Assumptions'!$B$7</x:f>
        <x:v>400</x:v>
      </x:c>
      <x:c r="F7" s="92" t="n">
        <x:f>'Assumptions'!$B$8*3/12</x:f>
        <x:v>5</x:v>
      </x:c>
      <x:c r="G7" s="92" t="n">
        <x:f>'Assumptions'!$B$10</x:f>
        <x:v>8</x:v>
      </x:c>
      <x:c r="H7" s="93" t="n">
        <x:f>'Assumptions'!$B$11</x:f>
        <x:v>20</x:v>
      </x:c>
      <x:c r="I7" s="93" t="n">
        <x:f>F7*G7*H7</x:f>
        <x:v>800</x:v>
      </x:c>
      <x:c r="J7" s="92" t="n">
        <x:f>'Assumptions'!$B$12*3/12</x:f>
        <x:v>0</x:v>
      </x:c>
      <x:c r="K7" s="93" t="n">
        <x:f>'Assumptions'!$B$13</x:f>
        <x:v>18000</x:v>
      </x:c>
      <x:c r="L7" s="93" t="n">
        <x:f>J7*K7/12</x:f>
        <x:v>0</x:v>
      </x:c>
      <x:c r="M7" s="92" t="n">
        <x:f>'Assumptions'!$B$14*3/12</x:f>
        <x:v>5</x:v>
      </x:c>
      <x:c r="N7" s="93" t="n">
        <x:f>'Assumptions'!$B$16</x:f>
        <x:v>30</x:v>
      </x:c>
      <x:c r="O7" s="93" t="n">
        <x:f>M7*N7</x:f>
        <x:v>150</x:v>
      </x:c>
      <x:c r="P7" s="92" t="n">
        <x:f>('Assumptions'!$B$8+'Assumptions'!$B$12)/12</x:f>
        <x:v>1.6666666666666667</x:v>
      </x:c>
      <x:c r="Q7" s="93" t="n">
        <x:f>'Assumptions'!$B$17</x:f>
        <x:v>1000</x:v>
      </x:c>
      <x:c r="R7" s="93" t="n">
        <x:f>P7*Q7</x:f>
        <x:v>1666.6666666666667</x:v>
      </x:c>
      <x:c r="S7" s="93" t="n">
        <x:f>SUM(E7,I7,L7,O7,R7)</x:f>
        <x:v>3016.666666666667</x:v>
      </x:c>
      <x:c r="T7" s="93" t="n">
        <x:f>(E7+I7+L7)*'Assumptions'!$B$18+O7*'Assumptions'!$B$19+R7*'Assumptions'!$B$20</x:f>
        <x:v>1661.6666666666667</x:v>
      </x:c>
      <x:c r="U7" s="93" t="n">
        <x:f>S7-T7</x:f>
        <x:v>1355.0000000000002</x:v>
      </x:c>
    </x:row>
    <x:row r="8">
      <x:c r="A8" s="90" t="n">
        <x:v>46357</x:v>
      </x:c>
      <x:c r="B8" s="91" t="n">
        <x:v>1</x:v>
      </x:c>
      <x:c r="C8" s="91" t="n">
        <x:v>4</x:v>
      </x:c>
      <x:c r="D8" s="92" t="n">
        <x:f>'Assumptions'!$B$5*4/12</x:f>
        <x:v>33.333333333333336</x:v>
      </x:c>
      <x:c r="E8" s="93" t="n">
        <x:f>D8*'Assumptions'!$B$7</x:f>
        <x:v>533.3333333333334</x:v>
      </x:c>
      <x:c r="F8" s="92" t="n">
        <x:f>'Assumptions'!$B$8*4/12</x:f>
        <x:v>6.666666666666667</x:v>
      </x:c>
      <x:c r="G8" s="92" t="n">
        <x:f>'Assumptions'!$B$10</x:f>
        <x:v>8</x:v>
      </x:c>
      <x:c r="H8" s="93" t="n">
        <x:f>'Assumptions'!$B$11</x:f>
        <x:v>20</x:v>
      </x:c>
      <x:c r="I8" s="93" t="n">
        <x:f>F8*G8*H8</x:f>
        <x:v>1066.6666666666667</x:v>
      </x:c>
      <x:c r="J8" s="92" t="n">
        <x:f>'Assumptions'!$B$12*4/12</x:f>
        <x:v>0</x:v>
      </x:c>
      <x:c r="K8" s="93" t="n">
        <x:f>'Assumptions'!$B$13</x:f>
        <x:v>18000</x:v>
      </x:c>
      <x:c r="L8" s="93" t="n">
        <x:f>J8*K8/12</x:f>
        <x:v>0</x:v>
      </x:c>
      <x:c r="M8" s="92" t="n">
        <x:f>'Assumptions'!$B$14*4/12</x:f>
        <x:v>6.666666666666667</x:v>
      </x:c>
      <x:c r="N8" s="93" t="n">
        <x:f>'Assumptions'!$B$16</x:f>
        <x:v>30</x:v>
      </x:c>
      <x:c r="O8" s="93" t="n">
        <x:f>M8*N8</x:f>
        <x:v>200</x:v>
      </x:c>
      <x:c r="P8" s="92" t="n">
        <x:f>('Assumptions'!$B$8+'Assumptions'!$B$12)/12</x:f>
        <x:v>1.6666666666666667</x:v>
      </x:c>
      <x:c r="Q8" s="93" t="n">
        <x:f>'Assumptions'!$B$17</x:f>
        <x:v>1000</x:v>
      </x:c>
      <x:c r="R8" s="93" t="n">
        <x:f>P8*Q8</x:f>
        <x:v>1666.6666666666667</x:v>
      </x:c>
      <x:c r="S8" s="93" t="n">
        <x:f>SUM(E8,I8,L8,O8,R8)</x:f>
        <x:v>3466.666666666667</x:v>
      </x:c>
      <x:c r="T8" s="93" t="n">
        <x:f>(E8+I8+L8)*'Assumptions'!$B$18+O8*'Assumptions'!$B$19+R8*'Assumptions'!$B$20</x:f>
        <x:v>1826.6666666666667</x:v>
      </x:c>
      <x:c r="U8" s="93" t="n">
        <x:f>S8-T8</x:f>
        <x:v>1640.0000000000002</x:v>
      </x:c>
    </x:row>
    <x:row r="9">
      <x:c r="A9" s="90" t="n">
        <x:v>46388</x:v>
      </x:c>
      <x:c r="B9" s="91" t="n">
        <x:v>1</x:v>
      </x:c>
      <x:c r="C9" s="91" t="n">
        <x:v>5</x:v>
      </x:c>
      <x:c r="D9" s="92" t="n">
        <x:f>'Assumptions'!$B$5*5/12</x:f>
        <x:v>41.666666666666664</x:v>
      </x:c>
      <x:c r="E9" s="93" t="n">
        <x:f>D9*'Assumptions'!$B$7</x:f>
        <x:v>666.6666666666666</x:v>
      </x:c>
      <x:c r="F9" s="92" t="n">
        <x:f>'Assumptions'!$B$8*5/12</x:f>
        <x:v>8.333333333333334</x:v>
      </x:c>
      <x:c r="G9" s="92" t="n">
        <x:f>'Assumptions'!$B$10</x:f>
        <x:v>8</x:v>
      </x:c>
      <x:c r="H9" s="93" t="n">
        <x:f>'Assumptions'!$B$11</x:f>
        <x:v>20</x:v>
      </x:c>
      <x:c r="I9" s="93" t="n">
        <x:f>F9*G9*H9</x:f>
        <x:v>1333.3333333333335</x:v>
      </x:c>
      <x:c r="J9" s="92" t="n">
        <x:f>'Assumptions'!$B$12*5/12</x:f>
        <x:v>0</x:v>
      </x:c>
      <x:c r="K9" s="93" t="n">
        <x:f>'Assumptions'!$B$13</x:f>
        <x:v>18000</x:v>
      </x:c>
      <x:c r="L9" s="93" t="n">
        <x:f>J9*K9/12</x:f>
        <x:v>0</x:v>
      </x:c>
      <x:c r="M9" s="92" t="n">
        <x:f>'Assumptions'!$B$14*5/12</x:f>
        <x:v>8.333333333333334</x:v>
      </x:c>
      <x:c r="N9" s="93" t="n">
        <x:f>'Assumptions'!$B$16</x:f>
        <x:v>30</x:v>
      </x:c>
      <x:c r="O9" s="93" t="n">
        <x:f>M9*N9</x:f>
        <x:v>250.00000000000003</x:v>
      </x:c>
      <x:c r="P9" s="92" t="n">
        <x:f>('Assumptions'!$B$8+'Assumptions'!$B$12)/12</x:f>
        <x:v>1.6666666666666667</x:v>
      </x:c>
      <x:c r="Q9" s="93" t="n">
        <x:f>'Assumptions'!$B$17</x:f>
        <x:v>1000</x:v>
      </x:c>
      <x:c r="R9" s="93" t="n">
        <x:f>P9*Q9</x:f>
        <x:v>1666.6666666666667</x:v>
      </x:c>
      <x:c r="S9" s="93" t="n">
        <x:f>SUM(E9,I9,L9,O9,R9)</x:f>
        <x:v>3916.666666666667</x:v>
      </x:c>
      <x:c r="T9" s="93" t="n">
        <x:f>(E9+I9+L9)*'Assumptions'!$B$18+O9*'Assumptions'!$B$19+R9*'Assumptions'!$B$20</x:f>
        <x:v>1991.6666666666667</x:v>
      </x:c>
      <x:c r="U9" s="93" t="n">
        <x:f>S9-T9</x:f>
        <x:v>1925.0000000000002</x:v>
      </x:c>
    </x:row>
    <x:row r="10">
      <x:c r="A10" s="90" t="n">
        <x:v>46419</x:v>
      </x:c>
      <x:c r="B10" s="91" t="n">
        <x:v>1</x:v>
      </x:c>
      <x:c r="C10" s="91" t="n">
        <x:v>6</x:v>
      </x:c>
      <x:c r="D10" s="92" t="n">
        <x:f>'Assumptions'!$B$5*6/12</x:f>
        <x:v>50</x:v>
      </x:c>
      <x:c r="E10" s="93" t="n">
        <x:f>D10*'Assumptions'!$B$7</x:f>
        <x:v>800</x:v>
      </x:c>
      <x:c r="F10" s="92" t="n">
        <x:f>'Assumptions'!$B$8*6/12</x:f>
        <x:v>10</x:v>
      </x:c>
      <x:c r="G10" s="92" t="n">
        <x:f>'Assumptions'!$B$10</x:f>
        <x:v>8</x:v>
      </x:c>
      <x:c r="H10" s="93" t="n">
        <x:f>'Assumptions'!$B$11</x:f>
        <x:v>20</x:v>
      </x:c>
      <x:c r="I10" s="93" t="n">
        <x:f>F10*G10*H10</x:f>
        <x:v>1600</x:v>
      </x:c>
      <x:c r="J10" s="92" t="n">
        <x:f>'Assumptions'!$B$12*6/12</x:f>
        <x:v>0</x:v>
      </x:c>
      <x:c r="K10" s="93" t="n">
        <x:f>'Assumptions'!$B$13</x:f>
        <x:v>18000</x:v>
      </x:c>
      <x:c r="L10" s="93" t="n">
        <x:f>J10*K10/12</x:f>
        <x:v>0</x:v>
      </x:c>
      <x:c r="M10" s="92" t="n">
        <x:f>'Assumptions'!$B$14*6/12</x:f>
        <x:v>10</x:v>
      </x:c>
      <x:c r="N10" s="93" t="n">
        <x:f>'Assumptions'!$B$16</x:f>
        <x:v>30</x:v>
      </x:c>
      <x:c r="O10" s="93" t="n">
        <x:f>M10*N10</x:f>
        <x:v>300</x:v>
      </x:c>
      <x:c r="P10" s="92" t="n">
        <x:f>('Assumptions'!$B$8+'Assumptions'!$B$12)/12</x:f>
        <x:v>1.6666666666666667</x:v>
      </x:c>
      <x:c r="Q10" s="93" t="n">
        <x:f>'Assumptions'!$B$17</x:f>
        <x:v>1000</x:v>
      </x:c>
      <x:c r="R10" s="93" t="n">
        <x:f>P10*Q10</x:f>
        <x:v>1666.6666666666667</x:v>
      </x:c>
      <x:c r="S10" s="93" t="n">
        <x:f>SUM(E10,I10,L10,O10,R10)</x:f>
        <x:v>4366.666666666667</x:v>
      </x:c>
      <x:c r="T10" s="93" t="n">
        <x:f>(E10+I10+L10)*'Assumptions'!$B$18+O10*'Assumptions'!$B$19+R10*'Assumptions'!$B$20</x:f>
        <x:v>2156.666666666667</x:v>
      </x:c>
      <x:c r="U10" s="93" t="n">
        <x:f>S10-T10</x:f>
        <x:v>2210</x:v>
      </x:c>
    </x:row>
    <x:row r="11">
      <x:c r="A11" s="90" t="n">
        <x:v>46447</x:v>
      </x:c>
      <x:c r="B11" s="91" t="n">
        <x:v>1</x:v>
      </x:c>
      <x:c r="C11" s="91" t="n">
        <x:v>7</x:v>
      </x:c>
      <x:c r="D11" s="92" t="n">
        <x:f>'Assumptions'!$B$5*7/12</x:f>
        <x:v>58.333333333333336</x:v>
      </x:c>
      <x:c r="E11" s="93" t="n">
        <x:f>D11*'Assumptions'!$B$7</x:f>
        <x:v>933.3333333333334</x:v>
      </x:c>
      <x:c r="F11" s="92" t="n">
        <x:f>'Assumptions'!$B$8*7/12</x:f>
        <x:v>11.666666666666666</x:v>
      </x:c>
      <x:c r="G11" s="92" t="n">
        <x:f>'Assumptions'!$B$10</x:f>
        <x:v>8</x:v>
      </x:c>
      <x:c r="H11" s="93" t="n">
        <x:f>'Assumptions'!$B$11</x:f>
        <x:v>20</x:v>
      </x:c>
      <x:c r="I11" s="93" t="n">
        <x:f>F11*G11*H11</x:f>
        <x:v>1866.6666666666665</x:v>
      </x:c>
      <x:c r="J11" s="92" t="n">
        <x:f>'Assumptions'!$B$12*7/12</x:f>
        <x:v>0</x:v>
      </x:c>
      <x:c r="K11" s="93" t="n">
        <x:f>'Assumptions'!$B$13</x:f>
        <x:v>18000</x:v>
      </x:c>
      <x:c r="L11" s="93" t="n">
        <x:f>J11*K11/12</x:f>
        <x:v>0</x:v>
      </x:c>
      <x:c r="M11" s="92" t="n">
        <x:f>'Assumptions'!$B$14*7/12</x:f>
        <x:v>11.666666666666666</x:v>
      </x:c>
      <x:c r="N11" s="93" t="n">
        <x:f>'Assumptions'!$B$16</x:f>
        <x:v>30</x:v>
      </x:c>
      <x:c r="O11" s="93" t="n">
        <x:f>M11*N11</x:f>
        <x:v>350</x:v>
      </x:c>
      <x:c r="P11" s="92" t="n">
        <x:f>('Assumptions'!$B$8+'Assumptions'!$B$12)/12</x:f>
        <x:v>1.6666666666666667</x:v>
      </x:c>
      <x:c r="Q11" s="93" t="n">
        <x:f>'Assumptions'!$B$17</x:f>
        <x:v>1000</x:v>
      </x:c>
      <x:c r="R11" s="93" t="n">
        <x:f>P11*Q11</x:f>
        <x:v>1666.6666666666667</x:v>
      </x:c>
      <x:c r="S11" s="93" t="n">
        <x:f>SUM(E11,I11,L11,O11,R11)</x:f>
        <x:v>4816.666666666667</x:v>
      </x:c>
      <x:c r="T11" s="93" t="n">
        <x:f>(E11+I11+L11)*'Assumptions'!$B$18+O11*'Assumptions'!$B$19+R11*'Assumptions'!$B$20</x:f>
        <x:v>2321.666666666667</x:v>
      </x:c>
      <x:c r="U11" s="93" t="n">
        <x:f>S11-T11</x:f>
        <x:v>2495</x:v>
      </x:c>
    </x:row>
    <x:row r="12">
      <x:c r="A12" s="90" t="n">
        <x:v>46478</x:v>
      </x:c>
      <x:c r="B12" s="91" t="n">
        <x:v>1</x:v>
      </x:c>
      <x:c r="C12" s="91" t="n">
        <x:v>8</x:v>
      </x:c>
      <x:c r="D12" s="92" t="n">
        <x:f>'Assumptions'!$B$5*8/12</x:f>
        <x:v>66.66666666666667</x:v>
      </x:c>
      <x:c r="E12" s="93" t="n">
        <x:f>D12*'Assumptions'!$B$7</x:f>
        <x:v>1066.6666666666667</x:v>
      </x:c>
      <x:c r="F12" s="92" t="n">
        <x:f>'Assumptions'!$B$8*8/12</x:f>
        <x:v>13.333333333333334</x:v>
      </x:c>
      <x:c r="G12" s="92" t="n">
        <x:f>'Assumptions'!$B$10</x:f>
        <x:v>8</x:v>
      </x:c>
      <x:c r="H12" s="93" t="n">
        <x:f>'Assumptions'!$B$11</x:f>
        <x:v>20</x:v>
      </x:c>
      <x:c r="I12" s="93" t="n">
        <x:f>F12*G12*H12</x:f>
        <x:v>2133.3333333333335</x:v>
      </x:c>
      <x:c r="J12" s="92" t="n">
        <x:f>'Assumptions'!$B$12*8/12</x:f>
        <x:v>0</x:v>
      </x:c>
      <x:c r="K12" s="93" t="n">
        <x:f>'Assumptions'!$B$13</x:f>
        <x:v>18000</x:v>
      </x:c>
      <x:c r="L12" s="93" t="n">
        <x:f>J12*K12/12</x:f>
        <x:v>0</x:v>
      </x:c>
      <x:c r="M12" s="92" t="n">
        <x:f>'Assumptions'!$B$14*8/12</x:f>
        <x:v>13.333333333333334</x:v>
      </x:c>
      <x:c r="N12" s="93" t="n">
        <x:f>'Assumptions'!$B$16</x:f>
        <x:v>30</x:v>
      </x:c>
      <x:c r="O12" s="93" t="n">
        <x:f>M12*N12</x:f>
        <x:v>400</x:v>
      </x:c>
      <x:c r="P12" s="92" t="n">
        <x:f>('Assumptions'!$B$8+'Assumptions'!$B$12)/12</x:f>
        <x:v>1.6666666666666667</x:v>
      </x:c>
      <x:c r="Q12" s="93" t="n">
        <x:f>'Assumptions'!$B$17</x:f>
        <x:v>1000</x:v>
      </x:c>
      <x:c r="R12" s="93" t="n">
        <x:f>P12*Q12</x:f>
        <x:v>1666.6666666666667</x:v>
      </x:c>
      <x:c r="S12" s="93" t="n">
        <x:f>SUM(E12,I12,L12,O12,R12)</x:f>
        <x:v>5266.666666666667</x:v>
      </x:c>
      <x:c r="T12" s="93" t="n">
        <x:f>(E12+I12+L12)*'Assumptions'!$B$18+O12*'Assumptions'!$B$19+R12*'Assumptions'!$B$20</x:f>
        <x:v>2486.666666666667</x:v>
      </x:c>
      <x:c r="U12" s="93" t="n">
        <x:f>S12-T12</x:f>
        <x:v>2780</x:v>
      </x:c>
    </x:row>
    <x:row r="13">
      <x:c r="A13" s="90" t="n">
        <x:v>46508</x:v>
      </x:c>
      <x:c r="B13" s="91" t="n">
        <x:v>1</x:v>
      </x:c>
      <x:c r="C13" s="91" t="n">
        <x:v>9</x:v>
      </x:c>
      <x:c r="D13" s="92" t="n">
        <x:f>'Assumptions'!$B$5*9/12</x:f>
        <x:v>75</x:v>
      </x:c>
      <x:c r="E13" s="93" t="n">
        <x:f>D13*'Assumptions'!$B$7</x:f>
        <x:v>1200</x:v>
      </x:c>
      <x:c r="F13" s="92" t="n">
        <x:f>'Assumptions'!$B$8*9/12</x:f>
        <x:v>15</x:v>
      </x:c>
      <x:c r="G13" s="92" t="n">
        <x:f>'Assumptions'!$B$10</x:f>
        <x:v>8</x:v>
      </x:c>
      <x:c r="H13" s="93" t="n">
        <x:f>'Assumptions'!$B$11</x:f>
        <x:v>20</x:v>
      </x:c>
      <x:c r="I13" s="93" t="n">
        <x:f>F13*G13*H13</x:f>
        <x:v>2400</x:v>
      </x:c>
      <x:c r="J13" s="92" t="n">
        <x:f>'Assumptions'!$B$12*9/12</x:f>
        <x:v>0</x:v>
      </x:c>
      <x:c r="K13" s="93" t="n">
        <x:f>'Assumptions'!$B$13</x:f>
        <x:v>18000</x:v>
      </x:c>
      <x:c r="L13" s="93" t="n">
        <x:f>J13*K13/12</x:f>
        <x:v>0</x:v>
      </x:c>
      <x:c r="M13" s="92" t="n">
        <x:f>'Assumptions'!$B$14*9/12</x:f>
        <x:v>15</x:v>
      </x:c>
      <x:c r="N13" s="93" t="n">
        <x:f>'Assumptions'!$B$16</x:f>
        <x:v>30</x:v>
      </x:c>
      <x:c r="O13" s="93" t="n">
        <x:f>M13*N13</x:f>
        <x:v>450</x:v>
      </x:c>
      <x:c r="P13" s="92" t="n">
        <x:f>('Assumptions'!$B$8+'Assumptions'!$B$12)/12</x:f>
        <x:v>1.6666666666666667</x:v>
      </x:c>
      <x:c r="Q13" s="93" t="n">
        <x:f>'Assumptions'!$B$17</x:f>
        <x:v>1000</x:v>
      </x:c>
      <x:c r="R13" s="93" t="n">
        <x:f>P13*Q13</x:f>
        <x:v>1666.6666666666667</x:v>
      </x:c>
      <x:c r="S13" s="93" t="n">
        <x:f>SUM(E13,I13,L13,O13,R13)</x:f>
        <x:v>5716.666666666667</x:v>
      </x:c>
      <x:c r="T13" s="93" t="n">
        <x:f>(E13+I13+L13)*'Assumptions'!$B$18+O13*'Assumptions'!$B$19+R13*'Assumptions'!$B$20</x:f>
        <x:v>2651.666666666667</x:v>
      </x:c>
      <x:c r="U13" s="93" t="n">
        <x:f>S13-T13</x:f>
        <x:v>3065</x:v>
      </x:c>
    </x:row>
    <x:row r="14">
      <x:c r="A14" s="90" t="n">
        <x:v>46539</x:v>
      </x:c>
      <x:c r="B14" s="91" t="n">
        <x:v>1</x:v>
      </x:c>
      <x:c r="C14" s="91" t="n">
        <x:v>10</x:v>
      </x:c>
      <x:c r="D14" s="92" t="n">
        <x:f>'Assumptions'!$B$5*10/12</x:f>
        <x:v>83.33333333333333</x:v>
      </x:c>
      <x:c r="E14" s="93" t="n">
        <x:f>D14*'Assumptions'!$B$7</x:f>
        <x:v>1333.3333333333333</x:v>
      </x:c>
      <x:c r="F14" s="92" t="n">
        <x:f>'Assumptions'!$B$8*10/12</x:f>
        <x:v>16.666666666666668</x:v>
      </x:c>
      <x:c r="G14" s="92" t="n">
        <x:f>'Assumptions'!$B$10</x:f>
        <x:v>8</x:v>
      </x:c>
      <x:c r="H14" s="93" t="n">
        <x:f>'Assumptions'!$B$11</x:f>
        <x:v>20</x:v>
      </x:c>
      <x:c r="I14" s="93" t="n">
        <x:f>F14*G14*H14</x:f>
        <x:v>2666.666666666667</x:v>
      </x:c>
      <x:c r="J14" s="92" t="n">
        <x:f>'Assumptions'!$B$12*10/12</x:f>
        <x:v>0</x:v>
      </x:c>
      <x:c r="K14" s="93" t="n">
        <x:f>'Assumptions'!$B$13</x:f>
        <x:v>18000</x:v>
      </x:c>
      <x:c r="L14" s="93" t="n">
        <x:f>J14*K14/12</x:f>
        <x:v>0</x:v>
      </x:c>
      <x:c r="M14" s="92" t="n">
        <x:f>'Assumptions'!$B$14*10/12</x:f>
        <x:v>16.666666666666668</x:v>
      </x:c>
      <x:c r="N14" s="93" t="n">
        <x:f>'Assumptions'!$B$16</x:f>
        <x:v>30</x:v>
      </x:c>
      <x:c r="O14" s="93" t="n">
        <x:f>M14*N14</x:f>
        <x:v>500.00000000000006</x:v>
      </x:c>
      <x:c r="P14" s="92" t="n">
        <x:f>('Assumptions'!$B$8+'Assumptions'!$B$12)/12</x:f>
        <x:v>1.6666666666666667</x:v>
      </x:c>
      <x:c r="Q14" s="93" t="n">
        <x:f>'Assumptions'!$B$17</x:f>
        <x:v>1000</x:v>
      </x:c>
      <x:c r="R14" s="93" t="n">
        <x:f>P14*Q14</x:f>
        <x:v>1666.6666666666667</x:v>
      </x:c>
      <x:c r="S14" s="93" t="n">
        <x:f>SUM(E14,I14,L14,O14,R14)</x:f>
        <x:v>6166.666666666667</x:v>
      </x:c>
      <x:c r="T14" s="93" t="n">
        <x:f>(E14+I14+L14)*'Assumptions'!$B$18+O14*'Assumptions'!$B$19+R14*'Assumptions'!$B$20</x:f>
        <x:v>2816.666666666667</x:v>
      </x:c>
      <x:c r="U14" s="93" t="n">
        <x:f>S14-T14</x:f>
        <x:v>3350</x:v>
      </x:c>
    </x:row>
    <x:row r="15">
      <x:c r="A15" s="90" t="n">
        <x:v>46569</x:v>
      </x:c>
      <x:c r="B15" s="91" t="n">
        <x:v>1</x:v>
      </x:c>
      <x:c r="C15" s="91" t="n">
        <x:v>11</x:v>
      </x:c>
      <x:c r="D15" s="92" t="n">
        <x:f>'Assumptions'!$B$5*11/12</x:f>
        <x:v>91.66666666666667</x:v>
      </x:c>
      <x:c r="E15" s="93" t="n">
        <x:f>D15*'Assumptions'!$B$7</x:f>
        <x:v>1466.6666666666667</x:v>
      </x:c>
      <x:c r="F15" s="92" t="n">
        <x:f>'Assumptions'!$B$8*11/12</x:f>
        <x:v>18.333333333333332</x:v>
      </x:c>
      <x:c r="G15" s="92" t="n">
        <x:f>'Assumptions'!$B$10</x:f>
        <x:v>8</x:v>
      </x:c>
      <x:c r="H15" s="93" t="n">
        <x:f>'Assumptions'!$B$11</x:f>
        <x:v>20</x:v>
      </x:c>
      <x:c r="I15" s="93" t="n">
        <x:f>F15*G15*H15</x:f>
        <x:v>2933.333333333333</x:v>
      </x:c>
      <x:c r="J15" s="92" t="n">
        <x:f>'Assumptions'!$B$12*11/12</x:f>
        <x:v>0</x:v>
      </x:c>
      <x:c r="K15" s="93" t="n">
        <x:f>'Assumptions'!$B$13</x:f>
        <x:v>18000</x:v>
      </x:c>
      <x:c r="L15" s="93" t="n">
        <x:f>J15*K15/12</x:f>
        <x:v>0</x:v>
      </x:c>
      <x:c r="M15" s="92" t="n">
        <x:f>'Assumptions'!$B$14*11/12</x:f>
        <x:v>18.333333333333332</x:v>
      </x:c>
      <x:c r="N15" s="93" t="n">
        <x:f>'Assumptions'!$B$16</x:f>
        <x:v>30</x:v>
      </x:c>
      <x:c r="O15" s="93" t="n">
        <x:f>M15*N15</x:f>
        <x:v>550</x:v>
      </x:c>
      <x:c r="P15" s="92" t="n">
        <x:f>('Assumptions'!$B$8+'Assumptions'!$B$12)/12</x:f>
        <x:v>1.6666666666666667</x:v>
      </x:c>
      <x:c r="Q15" s="93" t="n">
        <x:f>'Assumptions'!$B$17</x:f>
        <x:v>1000</x:v>
      </x:c>
      <x:c r="R15" s="93" t="n">
        <x:f>P15*Q15</x:f>
        <x:v>1666.6666666666667</x:v>
      </x:c>
      <x:c r="S15" s="93" t="n">
        <x:f>SUM(E15,I15,L15,O15,R15)</x:f>
        <x:v>6616.666666666667</x:v>
      </x:c>
      <x:c r="T15" s="93" t="n">
        <x:f>(E15+I15+L15)*'Assumptions'!$B$18+O15*'Assumptions'!$B$19+R15*'Assumptions'!$B$20</x:f>
        <x:v>2981.666666666667</x:v>
      </x:c>
      <x:c r="U15" s="93" t="n">
        <x:f>S15-T15</x:f>
        <x:v>3635</x:v>
      </x:c>
    </x:row>
    <x:row r="16">
      <x:c r="A16" s="90" t="n">
        <x:v>46600</x:v>
      </x:c>
      <x:c r="B16" s="91" t="n">
        <x:v>1</x:v>
      </x:c>
      <x:c r="C16" s="91" t="n">
        <x:v>12</x:v>
      </x:c>
      <x:c r="D16" s="92" t="n">
        <x:f>'Assumptions'!$B$5*12/12</x:f>
        <x:v>100</x:v>
      </x:c>
      <x:c r="E16" s="93" t="n">
        <x:f>D16*'Assumptions'!$B$7</x:f>
        <x:v>1600</x:v>
      </x:c>
      <x:c r="F16" s="92" t="n">
        <x:f>'Assumptions'!$B$8*12/12</x:f>
        <x:v>20</x:v>
      </x:c>
      <x:c r="G16" s="92" t="n">
        <x:f>'Assumptions'!$B$10</x:f>
        <x:v>8</x:v>
      </x:c>
      <x:c r="H16" s="93" t="n">
        <x:f>'Assumptions'!$B$11</x:f>
        <x:v>20</x:v>
      </x:c>
      <x:c r="I16" s="93" t="n">
        <x:f>F16*G16*H16</x:f>
        <x:v>3200</x:v>
      </x:c>
      <x:c r="J16" s="92" t="n">
        <x:f>'Assumptions'!$B$12*12/12</x:f>
        <x:v>0</x:v>
      </x:c>
      <x:c r="K16" s="93" t="n">
        <x:f>'Assumptions'!$B$13</x:f>
        <x:v>18000</x:v>
      </x:c>
      <x:c r="L16" s="93" t="n">
        <x:f>J16*K16/12</x:f>
        <x:v>0</x:v>
      </x:c>
      <x:c r="M16" s="92" t="n">
        <x:f>'Assumptions'!$B$14*12/12</x:f>
        <x:v>20</x:v>
      </x:c>
      <x:c r="N16" s="93" t="n">
        <x:f>'Assumptions'!$B$16</x:f>
        <x:v>30</x:v>
      </x:c>
      <x:c r="O16" s="93" t="n">
        <x:f>M16*N16</x:f>
        <x:v>600</x:v>
      </x:c>
      <x:c r="P16" s="92" t="n">
        <x:f>('Assumptions'!$B$8+'Assumptions'!$B$12)/12</x:f>
        <x:v>1.6666666666666667</x:v>
      </x:c>
      <x:c r="Q16" s="93" t="n">
        <x:f>'Assumptions'!$B$17</x:f>
        <x:v>1000</x:v>
      </x:c>
      <x:c r="R16" s="93" t="n">
        <x:f>P16*Q16</x:f>
        <x:v>1666.6666666666667</x:v>
      </x:c>
      <x:c r="S16" s="93" t="n">
        <x:f>SUM(E16,I16,L16,O16,R16)</x:f>
        <x:v>7066.666666666667</x:v>
      </x:c>
      <x:c r="T16" s="93" t="n">
        <x:f>(E16+I16+L16)*'Assumptions'!$B$18+O16*'Assumptions'!$B$19+R16*'Assumptions'!$B$20</x:f>
        <x:v>3146.666666666667</x:v>
      </x:c>
      <x:c r="U16" s="93" t="n">
        <x:f>S16-T16</x:f>
        <x:v>3920</x:v>
      </x:c>
    </x:row>
    <x:row r="17">
      <x:c r="A17" s="90" t="n">
        <x:v>46631</x:v>
      </x:c>
      <x:c r="B17" s="91" t="n">
        <x:v>2</x:v>
      </x:c>
      <x:c r="C17" s="91" t="n">
        <x:v>1</x:v>
      </x:c>
      <x:c r="D17" s="92" t="n">
        <x:f>'Assumptions'!$B$5*'Assumptions'!$C$6+'Assumptions'!$C$5*1/12</x:f>
        <x:v>80.83333333333333</x:v>
      </x:c>
      <x:c r="E17" s="93" t="n">
        <x:f>D17*'Assumptions'!$C$7</x:f>
        <x:v>1455</x:v>
      </x:c>
      <x:c r="F17" s="92" t="n">
        <x:f>'Assumptions'!$B$8*'Assumptions'!$C$9+'Assumptions'!$C$8*1/12</x:f>
        <x:v>20.5</x:v>
      </x:c>
      <x:c r="G17" s="92" t="n">
        <x:f>'Assumptions'!$C$10</x:f>
        <x:v>9</x:v>
      </x:c>
      <x:c r="H17" s="93" t="n">
        <x:f>'Assumptions'!$C$11</x:f>
        <x:v>22</x:v>
      </x:c>
      <x:c r="I17" s="93" t="n">
        <x:f>F17*G17*H17</x:f>
        <x:v>4059</x:v>
      </x:c>
      <x:c r="J17" s="92" t="n">
        <x:f>'Assumptions'!$B$12*'Assumptions'!$C$9+'Assumptions'!$C$12*1/12</x:f>
        <x:v>0.08333333333333333</x:v>
      </x:c>
      <x:c r="K17" s="93" t="n">
        <x:f>'Assumptions'!$C$13</x:f>
        <x:v>20000</x:v>
      </x:c>
      <x:c r="L17" s="93" t="n">
        <x:f>J17*K17/12</x:f>
        <x:v>138.88888888888889</x:v>
      </x:c>
      <x:c r="M17" s="92" t="n">
        <x:f>'Assumptions'!$B$14*'Assumptions'!$C$15+'Assumptions'!$C$14*1/12</x:f>
        <x:v>18.166666666666668</x:v>
      </x:c>
      <x:c r="N17" s="93" t="n">
        <x:f>'Assumptions'!$C$16</x:f>
        <x:v>45</x:v>
      </x:c>
      <x:c r="O17" s="93" t="n">
        <x:f>M17*N17</x:f>
        <x:v>817.5</x:v>
      </x:c>
      <x:c r="P17" s="92" t="n">
        <x:f>('Assumptions'!$C$8+'Assumptions'!$C$12)/12</x:f>
        <x:v>2.5833333333333335</x:v>
      </x:c>
      <x:c r="Q17" s="93" t="n">
        <x:f>'Assumptions'!$C$17</x:f>
        <x:v>900</x:v>
      </x:c>
      <x:c r="R17" s="93" t="n">
        <x:f>P17*Q17</x:f>
        <x:v>2325</x:v>
      </x:c>
      <x:c r="S17" s="93" t="n">
        <x:f>SUM(E17,I17,L17,O17,R17)</x:f>
        <x:v>8795.388888888889</x:v>
      </x:c>
      <x:c r="T17" s="93" t="n">
        <x:f>(E17+I17+L17)*'Assumptions'!$C$18+O17*'Assumptions'!$C$19+R17*'Assumptions'!$C$20</x:f>
        <x:v>3804.2994444444444</x:v>
      </x:c>
      <x:c r="U17" s="93" t="n">
        <x:f>S17-T17</x:f>
        <x:v>4991.089444444444</x:v>
      </x:c>
    </x:row>
    <x:row r="18">
      <x:c r="A18" s="90" t="n">
        <x:v>46661</x:v>
      </x:c>
      <x:c r="B18" s="91" t="n">
        <x:v>2</x:v>
      </x:c>
      <x:c r="C18" s="91" t="n">
        <x:v>2</x:v>
      </x:c>
      <x:c r="D18" s="92" t="n">
        <x:f>'Assumptions'!$B$5*'Assumptions'!$C$6+'Assumptions'!$C$5*2/12</x:f>
        <x:v>101.66666666666666</x:v>
      </x:c>
      <x:c r="E18" s="93" t="n">
        <x:f>D18*'Assumptions'!$C$7</x:f>
        <x:v>1829.9999999999998</x:v>
      </x:c>
      <x:c r="F18" s="92" t="n">
        <x:f>'Assumptions'!$B$8*'Assumptions'!$C$9+'Assumptions'!$C$8*2/12</x:f>
        <x:v>23</x:v>
      </x:c>
      <x:c r="G18" s="92" t="n">
        <x:f>'Assumptions'!$C$10</x:f>
        <x:v>9</x:v>
      </x:c>
      <x:c r="H18" s="93" t="n">
        <x:f>'Assumptions'!$C$11</x:f>
        <x:v>22</x:v>
      </x:c>
      <x:c r="I18" s="93" t="n">
        <x:f>F18*G18*H18</x:f>
        <x:v>4554</x:v>
      </x:c>
      <x:c r="J18" s="92" t="n">
        <x:f>'Assumptions'!$B$12*'Assumptions'!$C$9+'Assumptions'!$C$12*2/12</x:f>
        <x:v>0.16666666666666666</x:v>
      </x:c>
      <x:c r="K18" s="93" t="n">
        <x:f>'Assumptions'!$C$13</x:f>
        <x:v>20000</x:v>
      </x:c>
      <x:c r="L18" s="93" t="n">
        <x:f>J18*K18/12</x:f>
        <x:v>277.77777777777777</x:v>
      </x:c>
      <x:c r="M18" s="92" t="n">
        <x:f>'Assumptions'!$B$14*'Assumptions'!$C$15+'Assumptions'!$C$14*2/12</x:f>
        <x:v>22.333333333333336</x:v>
      </x:c>
      <x:c r="N18" s="93" t="n">
        <x:f>'Assumptions'!$C$16</x:f>
        <x:v>45</x:v>
      </x:c>
      <x:c r="O18" s="93" t="n">
        <x:f>M18*N18</x:f>
        <x:v>1005.0000000000001</x:v>
      </x:c>
      <x:c r="P18" s="92" t="n">
        <x:f>('Assumptions'!$C$8+'Assumptions'!$C$12)/12</x:f>
        <x:v>2.5833333333333335</x:v>
      </x:c>
      <x:c r="Q18" s="93" t="n">
        <x:f>'Assumptions'!$C$17</x:f>
        <x:v>900</x:v>
      </x:c>
      <x:c r="R18" s="93" t="n">
        <x:f>P18*Q18</x:f>
        <x:v>2325</x:v>
      </x:c>
      <x:c r="S18" s="93" t="n">
        <x:f>SUM(E18,I18,L18,O18,R18)</x:f>
        <x:v>9991.777777777777</x:v>
      </x:c>
      <x:c r="T18" s="93" t="n">
        <x:f>(E18+I18+L18)*'Assumptions'!$C$18+O18*'Assumptions'!$C$19+R18*'Assumptions'!$C$20</x:f>
        <x:v>4211.518888888889</x:v>
      </x:c>
      <x:c r="U18" s="93" t="n">
        <x:f>S18-T18</x:f>
        <x:v>5780.258888888889</x:v>
      </x:c>
    </x:row>
    <x:row r="19">
      <x:c r="A19" s="90" t="n">
        <x:v>46692</x:v>
      </x:c>
      <x:c r="B19" s="91" t="n">
        <x:v>2</x:v>
      </x:c>
      <x:c r="C19" s="91" t="n">
        <x:v>3</x:v>
      </x:c>
      <x:c r="D19" s="92" t="n">
        <x:f>'Assumptions'!$B$5*'Assumptions'!$C$6+'Assumptions'!$C$5*3/12</x:f>
        <x:v>122.5</x:v>
      </x:c>
      <x:c r="E19" s="93" t="n">
        <x:f>D19*'Assumptions'!$C$7</x:f>
        <x:v>2205</x:v>
      </x:c>
      <x:c r="F19" s="92" t="n">
        <x:f>'Assumptions'!$B$8*'Assumptions'!$C$9+'Assumptions'!$C$8*3/12</x:f>
        <x:v>25.5</x:v>
      </x:c>
      <x:c r="G19" s="92" t="n">
        <x:f>'Assumptions'!$C$10</x:f>
        <x:v>9</x:v>
      </x:c>
      <x:c r="H19" s="93" t="n">
        <x:f>'Assumptions'!$C$11</x:f>
        <x:v>22</x:v>
      </x:c>
      <x:c r="I19" s="93" t="n">
        <x:f>F19*G19*H19</x:f>
        <x:v>5049</x:v>
      </x:c>
      <x:c r="J19" s="92" t="n">
        <x:f>'Assumptions'!$B$12*'Assumptions'!$C$9+'Assumptions'!$C$12*3/12</x:f>
        <x:v>0.25</x:v>
      </x:c>
      <x:c r="K19" s="93" t="n">
        <x:f>'Assumptions'!$C$13</x:f>
        <x:v>20000</x:v>
      </x:c>
      <x:c r="L19" s="93" t="n">
        <x:f>J19*K19/12</x:f>
        <x:v>416.6666666666667</x:v>
      </x:c>
      <x:c r="M19" s="92" t="n">
        <x:f>'Assumptions'!$B$14*'Assumptions'!$C$15+'Assumptions'!$C$14*3/12</x:f>
        <x:v>26.5</x:v>
      </x:c>
      <x:c r="N19" s="93" t="n">
        <x:f>'Assumptions'!$C$16</x:f>
        <x:v>45</x:v>
      </x:c>
      <x:c r="O19" s="93" t="n">
        <x:f>M19*N19</x:f>
        <x:v>1192.5</x:v>
      </x:c>
      <x:c r="P19" s="92" t="n">
        <x:f>('Assumptions'!$C$8+'Assumptions'!$C$12)/12</x:f>
        <x:v>2.5833333333333335</x:v>
      </x:c>
      <x:c r="Q19" s="93" t="n">
        <x:f>'Assumptions'!$C$17</x:f>
        <x:v>900</x:v>
      </x:c>
      <x:c r="R19" s="93" t="n">
        <x:f>P19*Q19</x:f>
        <x:v>2325</x:v>
      </x:c>
      <x:c r="S19" s="93" t="n">
        <x:f>SUM(E19,I19,L19,O19,R19)</x:f>
        <x:v>11188.166666666668</x:v>
      </x:c>
      <x:c r="T19" s="93" t="n">
        <x:f>(E19+I19+L19)*'Assumptions'!$C$18+O19*'Assumptions'!$C$19+R19*'Assumptions'!$C$20</x:f>
        <x:v>4618.738333333334</x:v>
      </x:c>
      <x:c r="U19" s="93" t="n">
        <x:f>S19-T19</x:f>
        <x:v>6569.428333333334</x:v>
      </x:c>
    </x:row>
    <x:row r="20">
      <x:c r="A20" s="90" t="n">
        <x:v>46722</x:v>
      </x:c>
      <x:c r="B20" s="91" t="n">
        <x:v>2</x:v>
      </x:c>
      <x:c r="C20" s="91" t="n">
        <x:v>4</x:v>
      </x:c>
      <x:c r="D20" s="92" t="n">
        <x:f>'Assumptions'!$B$5*'Assumptions'!$C$6+'Assumptions'!$C$5*4/12</x:f>
        <x:v>143.33333333333331</x:v>
      </x:c>
      <x:c r="E20" s="93" t="n">
        <x:f>D20*'Assumptions'!$C$7</x:f>
        <x:v>2579.9999999999995</x:v>
      </x:c>
      <x:c r="F20" s="92" t="n">
        <x:f>'Assumptions'!$B$8*'Assumptions'!$C$9+'Assumptions'!$C$8*4/12</x:f>
        <x:v>28</x:v>
      </x:c>
      <x:c r="G20" s="92" t="n">
        <x:f>'Assumptions'!$C$10</x:f>
        <x:v>9</x:v>
      </x:c>
      <x:c r="H20" s="93" t="n">
        <x:f>'Assumptions'!$C$11</x:f>
        <x:v>22</x:v>
      </x:c>
      <x:c r="I20" s="93" t="n">
        <x:f>F20*G20*H20</x:f>
        <x:v>5544</x:v>
      </x:c>
      <x:c r="J20" s="92" t="n">
        <x:f>'Assumptions'!$B$12*'Assumptions'!$C$9+'Assumptions'!$C$12*4/12</x:f>
        <x:v>0.3333333333333333</x:v>
      </x:c>
      <x:c r="K20" s="93" t="n">
        <x:f>'Assumptions'!$C$13</x:f>
        <x:v>20000</x:v>
      </x:c>
      <x:c r="L20" s="93" t="n">
        <x:f>J20*K20/12</x:f>
        <x:v>555.5555555555555</x:v>
      </x:c>
      <x:c r="M20" s="92" t="n">
        <x:f>'Assumptions'!$B$14*'Assumptions'!$C$15+'Assumptions'!$C$14*4/12</x:f>
        <x:v>30.666666666666668</x:v>
      </x:c>
      <x:c r="N20" s="93" t="n">
        <x:f>'Assumptions'!$C$16</x:f>
        <x:v>45</x:v>
      </x:c>
      <x:c r="O20" s="93" t="n">
        <x:f>M20*N20</x:f>
        <x:v>1380</x:v>
      </x:c>
      <x:c r="P20" s="92" t="n">
        <x:f>('Assumptions'!$C$8+'Assumptions'!$C$12)/12</x:f>
        <x:v>2.5833333333333335</x:v>
      </x:c>
      <x:c r="Q20" s="93" t="n">
        <x:f>'Assumptions'!$C$17</x:f>
        <x:v>900</x:v>
      </x:c>
      <x:c r="R20" s="93" t="n">
        <x:f>P20*Q20</x:f>
        <x:v>2325</x:v>
      </x:c>
      <x:c r="S20" s="93" t="n">
        <x:f>SUM(E20,I20,L20,O20,R20)</x:f>
        <x:v>12384.555555555555</x:v>
      </x:c>
      <x:c r="T20" s="93" t="n">
        <x:f>(E20+I20+L20)*'Assumptions'!$C$18+O20*'Assumptions'!$C$19+R20*'Assumptions'!$C$20</x:f>
        <x:v>5025.957777777778</x:v>
      </x:c>
      <x:c r="U20" s="93" t="n">
        <x:f>S20-T20</x:f>
        <x:v>7358.597777777777</x:v>
      </x:c>
    </x:row>
    <x:row r="21">
      <x:c r="A21" s="90" t="n">
        <x:v>46753</x:v>
      </x:c>
      <x:c r="B21" s="91" t="n">
        <x:v>2</x:v>
      </x:c>
      <x:c r="C21" s="91" t="n">
        <x:v>5</x:v>
      </x:c>
      <x:c r="D21" s="92" t="n">
        <x:f>'Assumptions'!$B$5*'Assumptions'!$C$6+'Assumptions'!$C$5*5/12</x:f>
        <x:v>164.16666666666669</x:v>
      </x:c>
      <x:c r="E21" s="93" t="n">
        <x:f>D21*'Assumptions'!$C$7</x:f>
        <x:v>2955.0000000000005</x:v>
      </x:c>
      <x:c r="F21" s="92" t="n">
        <x:f>'Assumptions'!$B$8*'Assumptions'!$C$9+'Assumptions'!$C$8*5/12</x:f>
        <x:v>30.5</x:v>
      </x:c>
      <x:c r="G21" s="92" t="n">
        <x:f>'Assumptions'!$C$10</x:f>
        <x:v>9</x:v>
      </x:c>
      <x:c r="H21" s="93" t="n">
        <x:f>'Assumptions'!$C$11</x:f>
        <x:v>22</x:v>
      </x:c>
      <x:c r="I21" s="93" t="n">
        <x:f>F21*G21*H21</x:f>
        <x:v>6039</x:v>
      </x:c>
      <x:c r="J21" s="92" t="n">
        <x:f>'Assumptions'!$B$12*'Assumptions'!$C$9+'Assumptions'!$C$12*5/12</x:f>
        <x:v>0.4166666666666667</x:v>
      </x:c>
      <x:c r="K21" s="93" t="n">
        <x:f>'Assumptions'!$C$13</x:f>
        <x:v>20000</x:v>
      </x:c>
      <x:c r="L21" s="93" t="n">
        <x:f>J21*K21/12</x:f>
        <x:v>694.4444444444445</x:v>
      </x:c>
      <x:c r="M21" s="92" t="n">
        <x:f>'Assumptions'!$B$14*'Assumptions'!$C$15+'Assumptions'!$C$14*5/12</x:f>
        <x:v>34.83333333333333</x:v>
      </x:c>
      <x:c r="N21" s="93" t="n">
        <x:f>'Assumptions'!$C$16</x:f>
        <x:v>45</x:v>
      </x:c>
      <x:c r="O21" s="93" t="n">
        <x:f>M21*N21</x:f>
        <x:v>1567.4999999999998</x:v>
      </x:c>
      <x:c r="P21" s="92" t="n">
        <x:f>('Assumptions'!$C$8+'Assumptions'!$C$12)/12</x:f>
        <x:v>2.5833333333333335</x:v>
      </x:c>
      <x:c r="Q21" s="93" t="n">
        <x:f>'Assumptions'!$C$17</x:f>
        <x:v>900</x:v>
      </x:c>
      <x:c r="R21" s="93" t="n">
        <x:f>P21*Q21</x:f>
        <x:v>2325</x:v>
      </x:c>
      <x:c r="S21" s="93" t="n">
        <x:f>SUM(E21,I21,L21,O21,R21)</x:f>
        <x:v>13580.944444444445</x:v>
      </x:c>
      <x:c r="T21" s="93" t="n">
        <x:f>(E21+I21+L21)*'Assumptions'!$C$18+O21*'Assumptions'!$C$19+R21*'Assumptions'!$C$20</x:f>
        <x:v>5433.177222222223</x:v>
      </x:c>
      <x:c r="U21" s="93" t="n">
        <x:f>S21-T21</x:f>
        <x:v>8147.767222222223</x:v>
      </x:c>
    </x:row>
    <x:row r="22">
      <x:c r="A22" s="90" t="n">
        <x:v>46784</x:v>
      </x:c>
      <x:c r="B22" s="91" t="n">
        <x:v>2</x:v>
      </x:c>
      <x:c r="C22" s="91" t="n">
        <x:v>6</x:v>
      </x:c>
      <x:c r="D22" s="92" t="n">
        <x:f>'Assumptions'!$B$5*'Assumptions'!$C$6+'Assumptions'!$C$5*6/12</x:f>
        <x:v>185</x:v>
      </x:c>
      <x:c r="E22" s="93" t="n">
        <x:f>D22*'Assumptions'!$C$7</x:f>
        <x:v>3330</x:v>
      </x:c>
      <x:c r="F22" s="92" t="n">
        <x:f>'Assumptions'!$B$8*'Assumptions'!$C$9+'Assumptions'!$C$8*6/12</x:f>
        <x:v>33</x:v>
      </x:c>
      <x:c r="G22" s="92" t="n">
        <x:f>'Assumptions'!$C$10</x:f>
        <x:v>9</x:v>
      </x:c>
      <x:c r="H22" s="93" t="n">
        <x:f>'Assumptions'!$C$11</x:f>
        <x:v>22</x:v>
      </x:c>
      <x:c r="I22" s="93" t="n">
        <x:f>F22*G22*H22</x:f>
        <x:v>6534</x:v>
      </x:c>
      <x:c r="J22" s="92" t="n">
        <x:f>'Assumptions'!$B$12*'Assumptions'!$C$9+'Assumptions'!$C$12*6/12</x:f>
        <x:v>0.5</x:v>
      </x:c>
      <x:c r="K22" s="93" t="n">
        <x:f>'Assumptions'!$C$13</x:f>
        <x:v>20000</x:v>
      </x:c>
      <x:c r="L22" s="93" t="n">
        <x:f>J22*K22/12</x:f>
        <x:v>833.3333333333334</x:v>
      </x:c>
      <x:c r="M22" s="92" t="n">
        <x:f>'Assumptions'!$B$14*'Assumptions'!$C$15+'Assumptions'!$C$14*6/12</x:f>
        <x:v>39</x:v>
      </x:c>
      <x:c r="N22" s="93" t="n">
        <x:f>'Assumptions'!$C$16</x:f>
        <x:v>45</x:v>
      </x:c>
      <x:c r="O22" s="93" t="n">
        <x:f>M22*N22</x:f>
        <x:v>1755</x:v>
      </x:c>
      <x:c r="P22" s="92" t="n">
        <x:f>('Assumptions'!$C$8+'Assumptions'!$C$12)/12</x:f>
        <x:v>2.5833333333333335</x:v>
      </x:c>
      <x:c r="Q22" s="93" t="n">
        <x:f>'Assumptions'!$C$17</x:f>
        <x:v>900</x:v>
      </x:c>
      <x:c r="R22" s="93" t="n">
        <x:f>P22*Q22</x:f>
        <x:v>2325</x:v>
      </x:c>
      <x:c r="S22" s="93" t="n">
        <x:f>SUM(E22,I22,L22,O22,R22)</x:f>
        <x:v>14777.333333333334</x:v>
      </x:c>
      <x:c r="T22" s="93" t="n">
        <x:f>(E22+I22+L22)*'Assumptions'!$C$18+O22*'Assumptions'!$C$19+R22*'Assumptions'!$C$20</x:f>
        <x:v>5840.396666666667</x:v>
      </x:c>
      <x:c r="U22" s="93" t="n">
        <x:f>S22-T22</x:f>
        <x:v>8936.936666666666</x:v>
      </x:c>
    </x:row>
    <x:row r="23">
      <x:c r="A23" s="90" t="n">
        <x:v>46813</x:v>
      </x:c>
      <x:c r="B23" s="91" t="n">
        <x:v>2</x:v>
      </x:c>
      <x:c r="C23" s="91" t="n">
        <x:v>7</x:v>
      </x:c>
      <x:c r="D23" s="92" t="n">
        <x:f>'Assumptions'!$B$5*'Assumptions'!$C$6+'Assumptions'!$C$5*7/12</x:f>
        <x:v>205.83333333333334</x:v>
      </x:c>
      <x:c r="E23" s="93" t="n">
        <x:f>D23*'Assumptions'!$C$7</x:f>
        <x:v>3705</x:v>
      </x:c>
      <x:c r="F23" s="92" t="n">
        <x:f>'Assumptions'!$B$8*'Assumptions'!$C$9+'Assumptions'!$C$8*7/12</x:f>
        <x:v>35.5</x:v>
      </x:c>
      <x:c r="G23" s="92" t="n">
        <x:f>'Assumptions'!$C$10</x:f>
        <x:v>9</x:v>
      </x:c>
      <x:c r="H23" s="93" t="n">
        <x:f>'Assumptions'!$C$11</x:f>
        <x:v>22</x:v>
      </x:c>
      <x:c r="I23" s="93" t="n">
        <x:f>F23*G23*H23</x:f>
        <x:v>7029</x:v>
      </x:c>
      <x:c r="J23" s="92" t="n">
        <x:f>'Assumptions'!$B$12*'Assumptions'!$C$9+'Assumptions'!$C$12*7/12</x:f>
        <x:v>0.5833333333333334</x:v>
      </x:c>
      <x:c r="K23" s="93" t="n">
        <x:f>'Assumptions'!$C$13</x:f>
        <x:v>20000</x:v>
      </x:c>
      <x:c r="L23" s="93" t="n">
        <x:f>J23*K23/12</x:f>
        <x:v>972.2222222222223</x:v>
      </x:c>
      <x:c r="M23" s="92" t="n">
        <x:f>'Assumptions'!$B$14*'Assumptions'!$C$15+'Assumptions'!$C$14*7/12</x:f>
        <x:v>43.16666666666667</x:v>
      </x:c>
      <x:c r="N23" s="93" t="n">
        <x:f>'Assumptions'!$C$16</x:f>
        <x:v>45</x:v>
      </x:c>
      <x:c r="O23" s="93" t="n">
        <x:f>M23*N23</x:f>
        <x:v>1942.5000000000002</x:v>
      </x:c>
      <x:c r="P23" s="92" t="n">
        <x:f>('Assumptions'!$C$8+'Assumptions'!$C$12)/12</x:f>
        <x:v>2.5833333333333335</x:v>
      </x:c>
      <x:c r="Q23" s="93" t="n">
        <x:f>'Assumptions'!$C$17</x:f>
        <x:v>900</x:v>
      </x:c>
      <x:c r="R23" s="93" t="n">
        <x:f>P23*Q23</x:f>
        <x:v>2325</x:v>
      </x:c>
      <x:c r="S23" s="93" t="n">
        <x:f>SUM(E23,I23,L23,O23,R23)</x:f>
        <x:v>15973.722222222223</x:v>
      </x:c>
      <x:c r="T23" s="93" t="n">
        <x:f>(E23+I23+L23)*'Assumptions'!$C$18+O23*'Assumptions'!$C$19+R23*'Assumptions'!$C$20</x:f>
        <x:v>6247.616111111111</x:v>
      </x:c>
      <x:c r="U23" s="93" t="n">
        <x:f>S23-T23</x:f>
        <x:v>9726.106111111112</x:v>
      </x:c>
    </x:row>
    <x:row r="24">
      <x:c r="A24" s="90" t="n">
        <x:v>46844</x:v>
      </x:c>
      <x:c r="B24" s="91" t="n">
        <x:v>2</x:v>
      </x:c>
      <x:c r="C24" s="91" t="n">
        <x:v>8</x:v>
      </x:c>
      <x:c r="D24" s="92" t="n">
        <x:f>'Assumptions'!$B$5*'Assumptions'!$C$6+'Assumptions'!$C$5*8/12</x:f>
        <x:v>226.66666666666666</x:v>
      </x:c>
      <x:c r="E24" s="93" t="n">
        <x:f>D24*'Assumptions'!$C$7</x:f>
        <x:v>4080</x:v>
      </x:c>
      <x:c r="F24" s="92" t="n">
        <x:f>'Assumptions'!$B$8*'Assumptions'!$C$9+'Assumptions'!$C$8*8/12</x:f>
        <x:v>38</x:v>
      </x:c>
      <x:c r="G24" s="92" t="n">
        <x:f>'Assumptions'!$C$10</x:f>
        <x:v>9</x:v>
      </x:c>
      <x:c r="H24" s="93" t="n">
        <x:f>'Assumptions'!$C$11</x:f>
        <x:v>22</x:v>
      </x:c>
      <x:c r="I24" s="93" t="n">
        <x:f>F24*G24*H24</x:f>
        <x:v>7524</x:v>
      </x:c>
      <x:c r="J24" s="92" t="n">
        <x:f>'Assumptions'!$B$12*'Assumptions'!$C$9+'Assumptions'!$C$12*8/12</x:f>
        <x:v>0.6666666666666666</x:v>
      </x:c>
      <x:c r="K24" s="93" t="n">
        <x:f>'Assumptions'!$C$13</x:f>
        <x:v>20000</x:v>
      </x:c>
      <x:c r="L24" s="93" t="n">
        <x:f>J24*K24/12</x:f>
        <x:v>1111.111111111111</x:v>
      </x:c>
      <x:c r="M24" s="92" t="n">
        <x:f>'Assumptions'!$B$14*'Assumptions'!$C$15+'Assumptions'!$C$14*8/12</x:f>
        <x:v>47.333333333333336</x:v>
      </x:c>
      <x:c r="N24" s="93" t="n">
        <x:f>'Assumptions'!$C$16</x:f>
        <x:v>45</x:v>
      </x:c>
      <x:c r="O24" s="93" t="n">
        <x:f>M24*N24</x:f>
        <x:v>2130</x:v>
      </x:c>
      <x:c r="P24" s="92" t="n">
        <x:f>('Assumptions'!$C$8+'Assumptions'!$C$12)/12</x:f>
        <x:v>2.5833333333333335</x:v>
      </x:c>
      <x:c r="Q24" s="93" t="n">
        <x:f>'Assumptions'!$C$17</x:f>
        <x:v>900</x:v>
      </x:c>
      <x:c r="R24" s="93" t="n">
        <x:f>P24*Q24</x:f>
        <x:v>2325</x:v>
      </x:c>
      <x:c r="S24" s="93" t="n">
        <x:f>SUM(E24,I24,L24,O24,R24)</x:f>
        <x:v>17170.11111111111</x:v>
      </x:c>
      <x:c r="T24" s="93" t="n">
        <x:f>(E24+I24+L24)*'Assumptions'!$C$18+O24*'Assumptions'!$C$19+R24*'Assumptions'!$C$20</x:f>
        <x:v>6654.835555555555</x:v>
      </x:c>
      <x:c r="U24" s="93" t="n">
        <x:f>S24-T24</x:f>
        <x:v>10515.275555555554</x:v>
      </x:c>
    </x:row>
    <x:row r="25">
      <x:c r="A25" s="90" t="n">
        <x:v>46874</x:v>
      </x:c>
      <x:c r="B25" s="91" t="n">
        <x:v>2</x:v>
      </x:c>
      <x:c r="C25" s="91" t="n">
        <x:v>9</x:v>
      </x:c>
      <x:c r="D25" s="92" t="n">
        <x:f>'Assumptions'!$B$5*'Assumptions'!$C$6+'Assumptions'!$C$5*9/12</x:f>
        <x:v>247.5</x:v>
      </x:c>
      <x:c r="E25" s="93" t="n">
        <x:f>D25*'Assumptions'!$C$7</x:f>
        <x:v>4455</x:v>
      </x:c>
      <x:c r="F25" s="92" t="n">
        <x:f>'Assumptions'!$B$8*'Assumptions'!$C$9+'Assumptions'!$C$8*9/12</x:f>
        <x:v>40.5</x:v>
      </x:c>
      <x:c r="G25" s="92" t="n">
        <x:f>'Assumptions'!$C$10</x:f>
        <x:v>9</x:v>
      </x:c>
      <x:c r="H25" s="93" t="n">
        <x:f>'Assumptions'!$C$11</x:f>
        <x:v>22</x:v>
      </x:c>
      <x:c r="I25" s="93" t="n">
        <x:f>F25*G25*H25</x:f>
        <x:v>8019</x:v>
      </x:c>
      <x:c r="J25" s="92" t="n">
        <x:f>'Assumptions'!$B$12*'Assumptions'!$C$9+'Assumptions'!$C$12*9/12</x:f>
        <x:v>0.75</x:v>
      </x:c>
      <x:c r="K25" s="93" t="n">
        <x:f>'Assumptions'!$C$13</x:f>
        <x:v>20000</x:v>
      </x:c>
      <x:c r="L25" s="93" t="n">
        <x:f>J25*K25/12</x:f>
        <x:v>1250</x:v>
      </x:c>
      <x:c r="M25" s="92" t="n">
        <x:f>'Assumptions'!$B$14*'Assumptions'!$C$15+'Assumptions'!$C$14*9/12</x:f>
        <x:v>51.5</x:v>
      </x:c>
      <x:c r="N25" s="93" t="n">
        <x:f>'Assumptions'!$C$16</x:f>
        <x:v>45</x:v>
      </x:c>
      <x:c r="O25" s="93" t="n">
        <x:f>M25*N25</x:f>
        <x:v>2317.5</x:v>
      </x:c>
      <x:c r="P25" s="92" t="n">
        <x:f>('Assumptions'!$C$8+'Assumptions'!$C$12)/12</x:f>
        <x:v>2.5833333333333335</x:v>
      </x:c>
      <x:c r="Q25" s="93" t="n">
        <x:f>'Assumptions'!$C$17</x:f>
        <x:v>900</x:v>
      </x:c>
      <x:c r="R25" s="93" t="n">
        <x:f>P25*Q25</x:f>
        <x:v>2325</x:v>
      </x:c>
      <x:c r="S25" s="93" t="n">
        <x:f>SUM(E25,I25,L25,O25,R25)</x:f>
        <x:v>18366.5</x:v>
      </x:c>
      <x:c r="T25" s="93" t="n">
        <x:f>(E25+I25+L25)*'Assumptions'!$C$18+O25*'Assumptions'!$C$19+R25*'Assumptions'!$C$20</x:f>
        <x:v>7062.055</x:v>
      </x:c>
      <x:c r="U25" s="93" t="n">
        <x:f>S25-T25</x:f>
        <x:v>11304.445</x:v>
      </x:c>
    </x:row>
    <x:row r="26">
      <x:c r="A26" s="90" t="n">
        <x:v>46905</x:v>
      </x:c>
      <x:c r="B26" s="91" t="n">
        <x:v>2</x:v>
      </x:c>
      <x:c r="C26" s="91" t="n">
        <x:v>10</x:v>
      </x:c>
      <x:c r="D26" s="92" t="n">
        <x:f>'Assumptions'!$B$5*'Assumptions'!$C$6+'Assumptions'!$C$5*10/12</x:f>
        <x:v>268.33333333333337</x:v>
      </x:c>
      <x:c r="E26" s="93" t="n">
        <x:f>D26*'Assumptions'!$C$7</x:f>
        <x:v>4830.000000000001</x:v>
      </x:c>
      <x:c r="F26" s="92" t="n">
        <x:f>'Assumptions'!$B$8*'Assumptions'!$C$9+'Assumptions'!$C$8*10/12</x:f>
        <x:v>43</x:v>
      </x:c>
      <x:c r="G26" s="92" t="n">
        <x:f>'Assumptions'!$C$10</x:f>
        <x:v>9</x:v>
      </x:c>
      <x:c r="H26" s="93" t="n">
        <x:f>'Assumptions'!$C$11</x:f>
        <x:v>22</x:v>
      </x:c>
      <x:c r="I26" s="93" t="n">
        <x:f>F26*G26*H26</x:f>
        <x:v>8514</x:v>
      </x:c>
      <x:c r="J26" s="92" t="n">
        <x:f>'Assumptions'!$B$12*'Assumptions'!$C$9+'Assumptions'!$C$12*10/12</x:f>
        <x:v>0.8333333333333334</x:v>
      </x:c>
      <x:c r="K26" s="93" t="n">
        <x:f>'Assumptions'!$C$13</x:f>
        <x:v>20000</x:v>
      </x:c>
      <x:c r="L26" s="93" t="n">
        <x:f>J26*K26/12</x:f>
        <x:v>1388.888888888889</x:v>
      </x:c>
      <x:c r="M26" s="92" t="n">
        <x:f>'Assumptions'!$B$14*'Assumptions'!$C$15+'Assumptions'!$C$14*10/12</x:f>
        <x:v>55.666666666666664</x:v>
      </x:c>
      <x:c r="N26" s="93" t="n">
        <x:f>'Assumptions'!$C$16</x:f>
        <x:v>45</x:v>
      </x:c>
      <x:c r="O26" s="93" t="n">
        <x:f>M26*N26</x:f>
        <x:v>2505</x:v>
      </x:c>
      <x:c r="P26" s="92" t="n">
        <x:f>('Assumptions'!$C$8+'Assumptions'!$C$12)/12</x:f>
        <x:v>2.5833333333333335</x:v>
      </x:c>
      <x:c r="Q26" s="93" t="n">
        <x:f>'Assumptions'!$C$17</x:f>
        <x:v>900</x:v>
      </x:c>
      <x:c r="R26" s="93" t="n">
        <x:f>P26*Q26</x:f>
        <x:v>2325</x:v>
      </x:c>
      <x:c r="S26" s="93" t="n">
        <x:f>SUM(E26,I26,L26,O26,R26)</x:f>
        <x:v>19562.88888888889</x:v>
      </x:c>
      <x:c r="T26" s="93" t="n">
        <x:f>(E26+I26+L26)*'Assumptions'!$C$18+O26*'Assumptions'!$C$19+R26*'Assumptions'!$C$20</x:f>
        <x:v>7469.274444444444</x:v>
      </x:c>
      <x:c r="U26" s="93" t="n">
        <x:f>S26-T26</x:f>
        <x:v>12093.614444444447</x:v>
      </x:c>
    </x:row>
    <x:row r="27">
      <x:c r="A27" s="90" t="n">
        <x:v>46935</x:v>
      </x:c>
      <x:c r="B27" s="91" t="n">
        <x:v>2</x:v>
      </x:c>
      <x:c r="C27" s="91" t="n">
        <x:v>11</x:v>
      </x:c>
      <x:c r="D27" s="92" t="n">
        <x:f>'Assumptions'!$B$5*'Assumptions'!$C$6+'Assumptions'!$C$5*11/12</x:f>
        <x:v>289.16666666666663</x:v>
      </x:c>
      <x:c r="E27" s="93" t="n">
        <x:f>D27*'Assumptions'!$C$7</x:f>
        <x:v>5204.999999999999</x:v>
      </x:c>
      <x:c r="F27" s="92" t="n">
        <x:f>'Assumptions'!$B$8*'Assumptions'!$C$9+'Assumptions'!$C$8*11/12</x:f>
        <x:v>45.5</x:v>
      </x:c>
      <x:c r="G27" s="92" t="n">
        <x:f>'Assumptions'!$C$10</x:f>
        <x:v>9</x:v>
      </x:c>
      <x:c r="H27" s="93" t="n">
        <x:f>'Assumptions'!$C$11</x:f>
        <x:v>22</x:v>
      </x:c>
      <x:c r="I27" s="93" t="n">
        <x:f>F27*G27*H27</x:f>
        <x:v>9009</x:v>
      </x:c>
      <x:c r="J27" s="92" t="n">
        <x:f>'Assumptions'!$B$12*'Assumptions'!$C$9+'Assumptions'!$C$12*11/12</x:f>
        <x:v>0.9166666666666666</x:v>
      </x:c>
      <x:c r="K27" s="93" t="n">
        <x:f>'Assumptions'!$C$13</x:f>
        <x:v>20000</x:v>
      </x:c>
      <x:c r="L27" s="93" t="n">
        <x:f>J27*K27/12</x:f>
        <x:v>1527.7777777777776</x:v>
      </x:c>
      <x:c r="M27" s="92" t="n">
        <x:f>'Assumptions'!$B$14*'Assumptions'!$C$15+'Assumptions'!$C$14*11/12</x:f>
        <x:v>59.833333333333336</x:v>
      </x:c>
      <x:c r="N27" s="93" t="n">
        <x:f>'Assumptions'!$C$16</x:f>
        <x:v>45</x:v>
      </x:c>
      <x:c r="O27" s="93" t="n">
        <x:f>M27*N27</x:f>
        <x:v>2692.5</x:v>
      </x:c>
      <x:c r="P27" s="92" t="n">
        <x:f>('Assumptions'!$C$8+'Assumptions'!$C$12)/12</x:f>
        <x:v>2.5833333333333335</x:v>
      </x:c>
      <x:c r="Q27" s="93" t="n">
        <x:f>'Assumptions'!$C$17</x:f>
        <x:v>900</x:v>
      </x:c>
      <x:c r="R27" s="93" t="n">
        <x:f>P27*Q27</x:f>
        <x:v>2325</x:v>
      </x:c>
      <x:c r="S27" s="93" t="n">
        <x:f>SUM(E27,I27,L27,O27,R27)</x:f>
        <x:v>20759.277777777777</x:v>
      </x:c>
      <x:c r="T27" s="93" t="n">
        <x:f>(E27+I27+L27)*'Assumptions'!$C$18+O27*'Assumptions'!$C$19+R27*'Assumptions'!$C$20</x:f>
        <x:v>7876.493888888889</x:v>
      </x:c>
      <x:c r="U27" s="93" t="n">
        <x:f>S27-T27</x:f>
        <x:v>12882.783888888887</x:v>
      </x:c>
    </x:row>
    <x:row r="28">
      <x:c r="A28" s="90" t="n">
        <x:v>46966</x:v>
      </x:c>
      <x:c r="B28" s="91" t="n">
        <x:v>2</x:v>
      </x:c>
      <x:c r="C28" s="91" t="n">
        <x:v>12</x:v>
      </x:c>
      <x:c r="D28" s="92" t="n">
        <x:f>'Assumptions'!$B$5*'Assumptions'!$C$6+'Assumptions'!$C$5*12/12</x:f>
        <x:v>310</x:v>
      </x:c>
      <x:c r="E28" s="93" t="n">
        <x:f>D28*'Assumptions'!$C$7</x:f>
        <x:v>5580</x:v>
      </x:c>
      <x:c r="F28" s="92" t="n">
        <x:f>'Assumptions'!$B$8*'Assumptions'!$C$9+'Assumptions'!$C$8*12/12</x:f>
        <x:v>48</x:v>
      </x:c>
      <x:c r="G28" s="92" t="n">
        <x:f>'Assumptions'!$C$10</x:f>
        <x:v>9</x:v>
      </x:c>
      <x:c r="H28" s="93" t="n">
        <x:f>'Assumptions'!$C$11</x:f>
        <x:v>22</x:v>
      </x:c>
      <x:c r="I28" s="93" t="n">
        <x:f>F28*G28*H28</x:f>
        <x:v>9504</x:v>
      </x:c>
      <x:c r="J28" s="92" t="n">
        <x:f>'Assumptions'!$B$12*'Assumptions'!$C$9+'Assumptions'!$C$12*12/12</x:f>
        <x:v>1</x:v>
      </x:c>
      <x:c r="K28" s="93" t="n">
        <x:f>'Assumptions'!$C$13</x:f>
        <x:v>20000</x:v>
      </x:c>
      <x:c r="L28" s="93" t="n">
        <x:f>J28*K28/12</x:f>
        <x:v>1666.6666666666667</x:v>
      </x:c>
      <x:c r="M28" s="92" t="n">
        <x:f>'Assumptions'!$B$14*'Assumptions'!$C$15+'Assumptions'!$C$14*12/12</x:f>
        <x:v>64</x:v>
      </x:c>
      <x:c r="N28" s="93" t="n">
        <x:f>'Assumptions'!$C$16</x:f>
        <x:v>45</x:v>
      </x:c>
      <x:c r="O28" s="93" t="n">
        <x:f>M28*N28</x:f>
        <x:v>2880</x:v>
      </x:c>
      <x:c r="P28" s="92" t="n">
        <x:f>('Assumptions'!$C$8+'Assumptions'!$C$12)/12</x:f>
        <x:v>2.5833333333333335</x:v>
      </x:c>
      <x:c r="Q28" s="93" t="n">
        <x:f>'Assumptions'!$C$17</x:f>
        <x:v>900</x:v>
      </x:c>
      <x:c r="R28" s="93" t="n">
        <x:f>P28*Q28</x:f>
        <x:v>2325</x:v>
      </x:c>
      <x:c r="S28" s="93" t="n">
        <x:f>SUM(E28,I28,L28,O28,R28)</x:f>
        <x:v>21955.666666666668</x:v>
      </x:c>
      <x:c r="T28" s="93" t="n">
        <x:f>(E28+I28+L28)*'Assumptions'!$C$18+O28*'Assumptions'!$C$19+R28*'Assumptions'!$C$20</x:f>
        <x:v>8283.713333333333</x:v>
      </x:c>
      <x:c r="U28" s="93" t="n">
        <x:f>S28-T28</x:f>
        <x:v>13671.953333333335</x:v>
      </x:c>
    </x:row>
    <x:row r="29">
      <x:c r="A29" s="90" t="n">
        <x:v>46997</x:v>
      </x:c>
      <x:c r="B29" s="91" t="n">
        <x:v>3</x:v>
      </x:c>
      <x:c r="C29" s="91" t="n">
        <x:v>1</x:v>
      </x:c>
      <x:c r="D29" s="92" t="n">
        <x:f>'Assumptions'!$B$5*'Assumptions'!$C$6*'Assumptions'!$D$6+'Assumptions'!$C$5*'Assumptions'!$D$6+'Assumptions'!$D$5*1/12</x:f>
        <x:v>227.66666666666666</x:v>
      </x:c>
      <x:c r="E29" s="93" t="n">
        <x:f>D29*'Assumptions'!$D$7</x:f>
        <x:v>4553.333333333333</x:v>
      </x:c>
      <x:c r="F29" s="92" t="n">
        <x:f>'Assumptions'!$B$8*'Assumptions'!$C$9*'Assumptions'!$D$9+'Assumptions'!$C$8*'Assumptions'!$D$9+'Assumptions'!$D$8*1/12</x:f>
        <x:v>48.2</x:v>
      </x:c>
      <x:c r="G29" s="92" t="n">
        <x:f>'Assumptions'!$D$10</x:f>
        <x:v>10</x:v>
      </x:c>
      <x:c r="H29" s="93" t="n">
        <x:f>'Assumptions'!$D$11</x:f>
        <x:v>24</x:v>
      </x:c>
      <x:c r="I29" s="93" t="n">
        <x:f>F29*G29*H29</x:f>
        <x:v>11568</x:v>
      </x:c>
      <x:c r="J29" s="92" t="n">
        <x:f>'Assumptions'!$B$12*'Assumptions'!$C$9*'Assumptions'!$D$9+'Assumptions'!$C$12*'Assumptions'!$D$9+'Assumptions'!$D$12*1/12</x:f>
        <x:v>1.15</x:v>
      </x:c>
      <x:c r="K29" s="93" t="n">
        <x:f>'Assumptions'!$D$13</x:f>
        <x:v>22000</x:v>
      </x:c>
      <x:c r="L29" s="93" t="n">
        <x:f>J29*K29/12</x:f>
        <x:v>2108.333333333333</x:v>
      </x:c>
      <x:c r="M29" s="92" t="n">
        <x:f>'Assumptions'!$B$14*'Assumptions'!$C$15*'Assumptions'!$D$15+'Assumptions'!$C$14*'Assumptions'!$D$15+'Assumptions'!$D$14*1/12</x:f>
        <x:v>54.8</x:v>
      </x:c>
      <x:c r="N29" s="93" t="n">
        <x:f>'Assumptions'!$D$16</x:f>
        <x:v>60</x:v>
      </x:c>
      <x:c r="O29" s="93" t="n">
        <x:f>M29*N29</x:f>
        <x:v>3288</x:v>
      </x:c>
      <x:c r="P29" s="92" t="n">
        <x:f>('Assumptions'!$D$8+'Assumptions'!$D$12)/12</x:f>
        <x:v>5.25</x:v>
      </x:c>
      <x:c r="Q29" s="93" t="n">
        <x:f>'Assumptions'!$D$17</x:f>
        <x:v>750</x:v>
      </x:c>
      <x:c r="R29" s="93" t="n">
        <x:f>P29*Q29</x:f>
        <x:v>3937.5</x:v>
      </x:c>
      <x:c r="S29" s="93" t="n">
        <x:f>SUM(E29,I29,L29,O29,R29)</x:f>
        <x:v>25455.166666666664</x:v>
      </x:c>
      <x:c r="T29" s="93" t="n">
        <x:f>(E29+I29+L29)*'Assumptions'!$D$18+O29*'Assumptions'!$D$19+R29*'Assumptions'!$D$20</x:f>
        <x:v>9540.349999999999</x:v>
      </x:c>
      <x:c r="U29" s="93" t="n">
        <x:f>S29-T29</x:f>
        <x:v>15914.816666666666</x:v>
      </x:c>
    </x:row>
    <x:row r="30">
      <x:c r="A30" s="90" t="n">
        <x:v>47027</x:v>
      </x:c>
      <x:c r="B30" s="91" t="n">
        <x:v>3</x:v>
      </x:c>
      <x:c r="C30" s="91" t="n">
        <x:v>2</x:v>
      </x:c>
      <x:c r="D30" s="92" t="n">
        <x:f>'Assumptions'!$B$5*'Assumptions'!$C$6*'Assumptions'!$D$6+'Assumptions'!$C$5*'Assumptions'!$D$6+'Assumptions'!$D$5*2/12</x:f>
        <x:v>269.3333333333333</x:v>
      </x:c>
      <x:c r="E30" s="93" t="n">
        <x:f>D30*'Assumptions'!$D$7</x:f>
        <x:v>5386.666666666666</x:v>
      </x:c>
      <x:c r="F30" s="92" t="n">
        <x:f>'Assumptions'!$B$8*'Assumptions'!$C$9*'Assumptions'!$D$9+'Assumptions'!$C$8*'Assumptions'!$D$9+'Assumptions'!$D$8*2/12</x:f>
        <x:v>53.2</x:v>
      </x:c>
      <x:c r="G30" s="92" t="n">
        <x:f>'Assumptions'!$D$10</x:f>
        <x:v>10</x:v>
      </x:c>
      <x:c r="H30" s="93" t="n">
        <x:f>'Assumptions'!$D$11</x:f>
        <x:v>24</x:v>
      </x:c>
      <x:c r="I30" s="93" t="n">
        <x:f>F30*G30*H30</x:f>
        <x:v>12768</x:v>
      </x:c>
      <x:c r="J30" s="92" t="n">
        <x:f>'Assumptions'!$B$12*'Assumptions'!$C$9*'Assumptions'!$D$9+'Assumptions'!$C$12*'Assumptions'!$D$9+'Assumptions'!$D$12*2/12</x:f>
        <x:v>1.4</x:v>
      </x:c>
      <x:c r="K30" s="93" t="n">
        <x:f>'Assumptions'!$D$13</x:f>
        <x:v>22000</x:v>
      </x:c>
      <x:c r="L30" s="93" t="n">
        <x:f>J30*K30/12</x:f>
        <x:v>2566.6666666666665</x:v>
      </x:c>
      <x:c r="M30" s="92" t="n">
        <x:f>'Assumptions'!$B$14*'Assumptions'!$C$15*'Assumptions'!$D$15+'Assumptions'!$C$14*'Assumptions'!$D$15+'Assumptions'!$D$14*2/12</x:f>
        <x:v>64.8</x:v>
      </x:c>
      <x:c r="N30" s="93" t="n">
        <x:f>'Assumptions'!$D$16</x:f>
        <x:v>60</x:v>
      </x:c>
      <x:c r="O30" s="93" t="n">
        <x:f>M30*N30</x:f>
        <x:v>3888</x:v>
      </x:c>
      <x:c r="P30" s="92" t="n">
        <x:f>('Assumptions'!$D$8+'Assumptions'!$D$12)/12</x:f>
        <x:v>5.25</x:v>
      </x:c>
      <x:c r="Q30" s="93" t="n">
        <x:f>'Assumptions'!$D$17</x:f>
        <x:v>750</x:v>
      </x:c>
      <x:c r="R30" s="93" t="n">
        <x:f>P30*Q30</x:f>
        <x:v>3937.5</x:v>
      </x:c>
      <x:c r="S30" s="93" t="n">
        <x:f>SUM(E30,I30,L30,O30,R30)</x:f>
        <x:v>28546.833333333332</x:v>
      </x:c>
      <x:c r="T30" s="93" t="n">
        <x:f>(E30+I30+L30)*'Assumptions'!$D$18+O30*'Assumptions'!$D$19+R30*'Assumptions'!$D$20</x:f>
        <x:v>10527.849999999999</x:v>
      </x:c>
      <x:c r="U30" s="93" t="n">
        <x:f>S30-T30</x:f>
        <x:v>18018.983333333334</x:v>
      </x:c>
    </x:row>
    <x:row r="31">
      <x:c r="A31" s="90" t="n">
        <x:v>47058</x:v>
      </x:c>
      <x:c r="B31" s="91" t="n">
        <x:v>3</x:v>
      </x:c>
      <x:c r="C31" s="91" t="n">
        <x:v>3</x:v>
      </x:c>
      <x:c r="D31" s="92" t="n">
        <x:f>'Assumptions'!$B$5*'Assumptions'!$C$6*'Assumptions'!$D$6+'Assumptions'!$C$5*'Assumptions'!$D$6+'Assumptions'!$D$5*3/12</x:f>
        <x:v>311</x:v>
      </x:c>
      <x:c r="E31" s="93" t="n">
        <x:f>D31*'Assumptions'!$D$7</x:f>
        <x:v>6220</x:v>
      </x:c>
      <x:c r="F31" s="92" t="n">
        <x:f>'Assumptions'!$B$8*'Assumptions'!$C$9*'Assumptions'!$D$9+'Assumptions'!$C$8*'Assumptions'!$D$9+'Assumptions'!$D$8*3/12</x:f>
        <x:v>58.2</x:v>
      </x:c>
      <x:c r="G31" s="92" t="n">
        <x:f>'Assumptions'!$D$10</x:f>
        <x:v>10</x:v>
      </x:c>
      <x:c r="H31" s="93" t="n">
        <x:f>'Assumptions'!$D$11</x:f>
        <x:v>24</x:v>
      </x:c>
      <x:c r="I31" s="93" t="n">
        <x:f>F31*G31*H31</x:f>
        <x:v>13968</x:v>
      </x:c>
      <x:c r="J31" s="92" t="n">
        <x:f>'Assumptions'!$B$12*'Assumptions'!$C$9*'Assumptions'!$D$9+'Assumptions'!$C$12*'Assumptions'!$D$9+'Assumptions'!$D$12*3/12</x:f>
        <x:v>1.65</x:v>
      </x:c>
      <x:c r="K31" s="93" t="n">
        <x:f>'Assumptions'!$D$13</x:f>
        <x:v>22000</x:v>
      </x:c>
      <x:c r="L31" s="93" t="n">
        <x:f>J31*K31/12</x:f>
        <x:v>3025</x:v>
      </x:c>
      <x:c r="M31" s="92" t="n">
        <x:f>'Assumptions'!$B$14*'Assumptions'!$C$15*'Assumptions'!$D$15+'Assumptions'!$C$14*'Assumptions'!$D$15+'Assumptions'!$D$14*3/12</x:f>
        <x:v>74.8</x:v>
      </x:c>
      <x:c r="N31" s="93" t="n">
        <x:f>'Assumptions'!$D$16</x:f>
        <x:v>60</x:v>
      </x:c>
      <x:c r="O31" s="93" t="n">
        <x:f>M31*N31</x:f>
        <x:v>4488</x:v>
      </x:c>
      <x:c r="P31" s="92" t="n">
        <x:f>('Assumptions'!$D$8+'Assumptions'!$D$12)/12</x:f>
        <x:v>5.25</x:v>
      </x:c>
      <x:c r="Q31" s="93" t="n">
        <x:f>'Assumptions'!$D$17</x:f>
        <x:v>750</x:v>
      </x:c>
      <x:c r="R31" s="93" t="n">
        <x:f>P31*Q31</x:f>
        <x:v>3937.5</x:v>
      </x:c>
      <x:c r="S31" s="93" t="n">
        <x:f>SUM(E31,I31,L31,O31,R31)</x:f>
        <x:v>31638.5</x:v>
      </x:c>
      <x:c r="T31" s="93" t="n">
        <x:f>(E31+I31+L31)*'Assumptions'!$D$18+O31*'Assumptions'!$D$19+R31*'Assumptions'!$D$20</x:f>
        <x:v>11515.35</x:v>
      </x:c>
      <x:c r="U31" s="93" t="n">
        <x:f>S31-T31</x:f>
        <x:v>20123.15</x:v>
      </x:c>
    </x:row>
    <x:row r="32">
      <x:c r="A32" s="90" t="n">
        <x:v>47088</x:v>
      </x:c>
      <x:c r="B32" s="91" t="n">
        <x:v>3</x:v>
      </x:c>
      <x:c r="C32" s="91" t="n">
        <x:v>4</x:v>
      </x:c>
      <x:c r="D32" s="92" t="n">
        <x:f>'Assumptions'!$B$5*'Assumptions'!$C$6*'Assumptions'!$D$6+'Assumptions'!$C$5*'Assumptions'!$D$6+'Assumptions'!$D$5*4/12</x:f>
        <x:v>352.66666666666663</x:v>
      </x:c>
      <x:c r="E32" s="93" t="n">
        <x:f>D32*'Assumptions'!$D$7</x:f>
        <x:v>7053.333333333332</x:v>
      </x:c>
      <x:c r="F32" s="92" t="n">
        <x:f>'Assumptions'!$B$8*'Assumptions'!$C$9*'Assumptions'!$D$9+'Assumptions'!$C$8*'Assumptions'!$D$9+'Assumptions'!$D$8*4/12</x:f>
        <x:v>63.2</x:v>
      </x:c>
      <x:c r="G32" s="92" t="n">
        <x:f>'Assumptions'!$D$10</x:f>
        <x:v>10</x:v>
      </x:c>
      <x:c r="H32" s="93" t="n">
        <x:f>'Assumptions'!$D$11</x:f>
        <x:v>24</x:v>
      </x:c>
      <x:c r="I32" s="93" t="n">
        <x:f>F32*G32*H32</x:f>
        <x:v>15168</x:v>
      </x:c>
      <x:c r="J32" s="92" t="n">
        <x:f>'Assumptions'!$B$12*'Assumptions'!$C$9*'Assumptions'!$D$9+'Assumptions'!$C$12*'Assumptions'!$D$9+'Assumptions'!$D$12*4/12</x:f>
        <x:v>1.9</x:v>
      </x:c>
      <x:c r="K32" s="93" t="n">
        <x:f>'Assumptions'!$D$13</x:f>
        <x:v>22000</x:v>
      </x:c>
      <x:c r="L32" s="93" t="n">
        <x:f>J32*K32/12</x:f>
        <x:v>3483.3333333333335</x:v>
      </x:c>
      <x:c r="M32" s="92" t="n">
        <x:f>'Assumptions'!$B$14*'Assumptions'!$C$15*'Assumptions'!$D$15+'Assumptions'!$C$14*'Assumptions'!$D$15+'Assumptions'!$D$14*4/12</x:f>
        <x:v>84.8</x:v>
      </x:c>
      <x:c r="N32" s="93" t="n">
        <x:f>'Assumptions'!$D$16</x:f>
        <x:v>60</x:v>
      </x:c>
      <x:c r="O32" s="93" t="n">
        <x:f>M32*N32</x:f>
        <x:v>5088</x:v>
      </x:c>
      <x:c r="P32" s="92" t="n">
        <x:f>('Assumptions'!$D$8+'Assumptions'!$D$12)/12</x:f>
        <x:v>5.25</x:v>
      </x:c>
      <x:c r="Q32" s="93" t="n">
        <x:f>'Assumptions'!$D$17</x:f>
        <x:v>750</x:v>
      </x:c>
      <x:c r="R32" s="93" t="n">
        <x:f>P32*Q32</x:f>
        <x:v>3937.5</x:v>
      </x:c>
      <x:c r="S32" s="93" t="n">
        <x:f>SUM(E32,I32,L32,O32,R32)</x:f>
        <x:v>34730.166666666664</x:v>
      </x:c>
      <x:c r="T32" s="93" t="n">
        <x:f>(E32+I32+L32)*'Assumptions'!$D$18+O32*'Assumptions'!$D$19+R32*'Assumptions'!$D$20</x:f>
        <x:v>12502.849999999999</x:v>
      </x:c>
      <x:c r="U32" s="93" t="n">
        <x:f>S32-T32</x:f>
        <x:v>22227.316666666666</x:v>
      </x:c>
    </x:row>
    <x:row r="33">
      <x:c r="A33" s="90" t="n">
        <x:v>47119</x:v>
      </x:c>
      <x:c r="B33" s="91" t="n">
        <x:v>3</x:v>
      </x:c>
      <x:c r="C33" s="91" t="n">
        <x:v>5</x:v>
      </x:c>
      <x:c r="D33" s="92" t="n">
        <x:f>'Assumptions'!$B$5*'Assumptions'!$C$6*'Assumptions'!$D$6+'Assumptions'!$C$5*'Assumptions'!$D$6+'Assumptions'!$D$5*5/12</x:f>
        <x:v>394.33333333333337</x:v>
      </x:c>
      <x:c r="E33" s="93" t="n">
        <x:f>D33*'Assumptions'!$D$7</x:f>
        <x:v>7886.666666666668</x:v>
      </x:c>
      <x:c r="F33" s="92" t="n">
        <x:f>'Assumptions'!$B$8*'Assumptions'!$C$9*'Assumptions'!$D$9+'Assumptions'!$C$8*'Assumptions'!$D$9+'Assumptions'!$D$8*5/12</x:f>
        <x:v>68.2</x:v>
      </x:c>
      <x:c r="G33" s="92" t="n">
        <x:f>'Assumptions'!$D$10</x:f>
        <x:v>10</x:v>
      </x:c>
      <x:c r="H33" s="93" t="n">
        <x:f>'Assumptions'!$D$11</x:f>
        <x:v>24</x:v>
      </x:c>
      <x:c r="I33" s="93" t="n">
        <x:f>F33*G33*H33</x:f>
        <x:v>16368</x:v>
      </x:c>
      <x:c r="J33" s="92" t="n">
        <x:f>'Assumptions'!$B$12*'Assumptions'!$C$9*'Assumptions'!$D$9+'Assumptions'!$C$12*'Assumptions'!$D$9+'Assumptions'!$D$12*5/12</x:f>
        <x:v>2.15</x:v>
      </x:c>
      <x:c r="K33" s="93" t="n">
        <x:f>'Assumptions'!$D$13</x:f>
        <x:v>22000</x:v>
      </x:c>
      <x:c r="L33" s="93" t="n">
        <x:f>J33*K33/12</x:f>
        <x:v>3941.6666666666665</x:v>
      </x:c>
      <x:c r="M33" s="92" t="n">
        <x:f>'Assumptions'!$B$14*'Assumptions'!$C$15*'Assumptions'!$D$15+'Assumptions'!$C$14*'Assumptions'!$D$15+'Assumptions'!$D$14*5/12</x:f>
        <x:v>94.8</x:v>
      </x:c>
      <x:c r="N33" s="93" t="n">
        <x:f>'Assumptions'!$D$16</x:f>
        <x:v>60</x:v>
      </x:c>
      <x:c r="O33" s="93" t="n">
        <x:f>M33*N33</x:f>
        <x:v>5688</x:v>
      </x:c>
      <x:c r="P33" s="92" t="n">
        <x:f>('Assumptions'!$D$8+'Assumptions'!$D$12)/12</x:f>
        <x:v>5.25</x:v>
      </x:c>
      <x:c r="Q33" s="93" t="n">
        <x:f>'Assumptions'!$D$17</x:f>
        <x:v>750</x:v>
      </x:c>
      <x:c r="R33" s="93" t="n">
        <x:f>P33*Q33</x:f>
        <x:v>3937.5</x:v>
      </x:c>
      <x:c r="S33" s="93" t="n">
        <x:f>SUM(E33,I33,L33,O33,R33)</x:f>
        <x:v>37821.833333333336</x:v>
      </x:c>
      <x:c r="T33" s="93" t="n">
        <x:f>(E33+I33+L33)*'Assumptions'!$D$18+O33*'Assumptions'!$D$19+R33*'Assumptions'!$D$20</x:f>
        <x:v>13490.35</x:v>
      </x:c>
      <x:c r="U33" s="93" t="n">
        <x:f>S33-T33</x:f>
        <x:v>24331.483333333337</x:v>
      </x:c>
    </x:row>
    <x:row r="34">
      <x:c r="A34" s="90" t="n">
        <x:v>47150</x:v>
      </x:c>
      <x:c r="B34" s="91" t="n">
        <x:v>3</x:v>
      </x:c>
      <x:c r="C34" s="91" t="n">
        <x:v>6</x:v>
      </x:c>
      <x:c r="D34" s="92" t="n">
        <x:f>'Assumptions'!$B$5*'Assumptions'!$C$6*'Assumptions'!$D$6+'Assumptions'!$C$5*'Assumptions'!$D$6+'Assumptions'!$D$5*6/12</x:f>
        <x:v>436</x:v>
      </x:c>
      <x:c r="E34" s="93" t="n">
        <x:f>D34*'Assumptions'!$D$7</x:f>
        <x:v>8720</x:v>
      </x:c>
      <x:c r="F34" s="92" t="n">
        <x:f>'Assumptions'!$B$8*'Assumptions'!$C$9*'Assumptions'!$D$9+'Assumptions'!$C$8*'Assumptions'!$D$9+'Assumptions'!$D$8*6/12</x:f>
        <x:v>73.2</x:v>
      </x:c>
      <x:c r="G34" s="92" t="n">
        <x:f>'Assumptions'!$D$10</x:f>
        <x:v>10</x:v>
      </x:c>
      <x:c r="H34" s="93" t="n">
        <x:f>'Assumptions'!$D$11</x:f>
        <x:v>24</x:v>
      </x:c>
      <x:c r="I34" s="93" t="n">
        <x:f>F34*G34*H34</x:f>
        <x:v>17568</x:v>
      </x:c>
      <x:c r="J34" s="92" t="n">
        <x:f>'Assumptions'!$B$12*'Assumptions'!$C$9*'Assumptions'!$D$9+'Assumptions'!$C$12*'Assumptions'!$D$9+'Assumptions'!$D$12*6/12</x:f>
        <x:v>2.4</x:v>
      </x:c>
      <x:c r="K34" s="93" t="n">
        <x:f>'Assumptions'!$D$13</x:f>
        <x:v>22000</x:v>
      </x:c>
      <x:c r="L34" s="93" t="n">
        <x:f>J34*K34/12</x:f>
        <x:v>4400</x:v>
      </x:c>
      <x:c r="M34" s="92" t="n">
        <x:f>'Assumptions'!$B$14*'Assumptions'!$C$15*'Assumptions'!$D$15+'Assumptions'!$C$14*'Assumptions'!$D$15+'Assumptions'!$D$14*6/12</x:f>
        <x:v>104.8</x:v>
      </x:c>
      <x:c r="N34" s="93" t="n">
        <x:f>'Assumptions'!$D$16</x:f>
        <x:v>60</x:v>
      </x:c>
      <x:c r="O34" s="93" t="n">
        <x:f>M34*N34</x:f>
        <x:v>6288</x:v>
      </x:c>
      <x:c r="P34" s="92" t="n">
        <x:f>('Assumptions'!$D$8+'Assumptions'!$D$12)/12</x:f>
        <x:v>5.25</x:v>
      </x:c>
      <x:c r="Q34" s="93" t="n">
        <x:f>'Assumptions'!$D$17</x:f>
        <x:v>750</x:v>
      </x:c>
      <x:c r="R34" s="93" t="n">
        <x:f>P34*Q34</x:f>
        <x:v>3937.5</x:v>
      </x:c>
      <x:c r="S34" s="93" t="n">
        <x:f>SUM(E34,I34,L34,O34,R34)</x:f>
        <x:v>40913.5</x:v>
      </x:c>
      <x:c r="T34" s="93" t="n">
        <x:f>(E34+I34+L34)*'Assumptions'!$D$18+O34*'Assumptions'!$D$19+R34*'Assumptions'!$D$20</x:f>
        <x:v>14477.85</x:v>
      </x:c>
      <x:c r="U34" s="93" t="n">
        <x:f>S34-T34</x:f>
        <x:v>26435.65</x:v>
      </x:c>
    </x:row>
    <x:row r="35">
      <x:c r="A35" s="90" t="n">
        <x:v>47178</x:v>
      </x:c>
      <x:c r="B35" s="91" t="n">
        <x:v>3</x:v>
      </x:c>
      <x:c r="C35" s="91" t="n">
        <x:v>7</x:v>
      </x:c>
      <x:c r="D35" s="92" t="n">
        <x:f>'Assumptions'!$B$5*'Assumptions'!$C$6*'Assumptions'!$D$6+'Assumptions'!$C$5*'Assumptions'!$D$6+'Assumptions'!$D$5*7/12</x:f>
        <x:v>477.6666666666667</x:v>
      </x:c>
      <x:c r="E35" s="93" t="n">
        <x:f>D35*'Assumptions'!$D$7</x:f>
        <x:v>9553.333333333334</x:v>
      </x:c>
      <x:c r="F35" s="92" t="n">
        <x:f>'Assumptions'!$B$8*'Assumptions'!$C$9*'Assumptions'!$D$9+'Assumptions'!$C$8*'Assumptions'!$D$9+'Assumptions'!$D$8*7/12</x:f>
        <x:v>78.2</x:v>
      </x:c>
      <x:c r="G35" s="92" t="n">
        <x:f>'Assumptions'!$D$10</x:f>
        <x:v>10</x:v>
      </x:c>
      <x:c r="H35" s="93" t="n">
        <x:f>'Assumptions'!$D$11</x:f>
        <x:v>24</x:v>
      </x:c>
      <x:c r="I35" s="93" t="n">
        <x:f>F35*G35*H35</x:f>
        <x:v>18768</x:v>
      </x:c>
      <x:c r="J35" s="92" t="n">
        <x:f>'Assumptions'!$B$12*'Assumptions'!$C$9*'Assumptions'!$D$9+'Assumptions'!$C$12*'Assumptions'!$D$9+'Assumptions'!$D$12*7/12</x:f>
        <x:v>2.65</x:v>
      </x:c>
      <x:c r="K35" s="93" t="n">
        <x:f>'Assumptions'!$D$13</x:f>
        <x:v>22000</x:v>
      </x:c>
      <x:c r="L35" s="93" t="n">
        <x:f>J35*K35/12</x:f>
        <x:v>4858.333333333333</x:v>
      </x:c>
      <x:c r="M35" s="92" t="n">
        <x:f>'Assumptions'!$B$14*'Assumptions'!$C$15*'Assumptions'!$D$15+'Assumptions'!$C$14*'Assumptions'!$D$15+'Assumptions'!$D$14*7/12</x:f>
        <x:v>114.8</x:v>
      </x:c>
      <x:c r="N35" s="93" t="n">
        <x:f>'Assumptions'!$D$16</x:f>
        <x:v>60</x:v>
      </x:c>
      <x:c r="O35" s="93" t="n">
        <x:f>M35*N35</x:f>
        <x:v>6888</x:v>
      </x:c>
      <x:c r="P35" s="92" t="n">
        <x:f>('Assumptions'!$D$8+'Assumptions'!$D$12)/12</x:f>
        <x:v>5.25</x:v>
      </x:c>
      <x:c r="Q35" s="93" t="n">
        <x:f>'Assumptions'!$D$17</x:f>
        <x:v>750</x:v>
      </x:c>
      <x:c r="R35" s="93" t="n">
        <x:f>P35*Q35</x:f>
        <x:v>3937.5</x:v>
      </x:c>
      <x:c r="S35" s="93" t="n">
        <x:f>SUM(E35,I35,L35,O35,R35)</x:f>
        <x:v>44005.16666666667</x:v>
      </x:c>
      <x:c r="T35" s="93" t="n">
        <x:f>(E35+I35+L35)*'Assumptions'!$D$18+O35*'Assumptions'!$D$19+R35*'Assumptions'!$D$20</x:f>
        <x:v>15465.350000000002</x:v>
      </x:c>
      <x:c r="U35" s="93" t="n">
        <x:f>S35-T35</x:f>
        <x:v>28539.81666666667</x:v>
      </x:c>
    </x:row>
    <x:row r="36">
      <x:c r="A36" s="90" t="n">
        <x:v>47209</x:v>
      </x:c>
      <x:c r="B36" s="91" t="n">
        <x:v>3</x:v>
      </x:c>
      <x:c r="C36" s="91" t="n">
        <x:v>8</x:v>
      </x:c>
      <x:c r="D36" s="92" t="n">
        <x:f>'Assumptions'!$B$5*'Assumptions'!$C$6*'Assumptions'!$D$6+'Assumptions'!$C$5*'Assumptions'!$D$6+'Assumptions'!$D$5*8/12</x:f>
        <x:v>519.3333333333333</x:v>
      </x:c>
      <x:c r="E36" s="93" t="n">
        <x:f>D36*'Assumptions'!$D$7</x:f>
        <x:v>10386.666666666664</x:v>
      </x:c>
      <x:c r="F36" s="92" t="n">
        <x:f>'Assumptions'!$B$8*'Assumptions'!$C$9*'Assumptions'!$D$9+'Assumptions'!$C$8*'Assumptions'!$D$9+'Assumptions'!$D$8*8/12</x:f>
        <x:v>83.2</x:v>
      </x:c>
      <x:c r="G36" s="92" t="n">
        <x:f>'Assumptions'!$D$10</x:f>
        <x:v>10</x:v>
      </x:c>
      <x:c r="H36" s="93" t="n">
        <x:f>'Assumptions'!$D$11</x:f>
        <x:v>24</x:v>
      </x:c>
      <x:c r="I36" s="93" t="n">
        <x:f>F36*G36*H36</x:f>
        <x:v>19968</x:v>
      </x:c>
      <x:c r="J36" s="92" t="n">
        <x:f>'Assumptions'!$B$12*'Assumptions'!$C$9*'Assumptions'!$D$9+'Assumptions'!$C$12*'Assumptions'!$D$9+'Assumptions'!$D$12*8/12</x:f>
        <x:v>2.9</x:v>
      </x:c>
      <x:c r="K36" s="93" t="n">
        <x:f>'Assumptions'!$D$13</x:f>
        <x:v>22000</x:v>
      </x:c>
      <x:c r="L36" s="93" t="n">
        <x:f>J36*K36/12</x:f>
        <x:v>5316.666666666667</x:v>
      </x:c>
      <x:c r="M36" s="92" t="n">
        <x:f>'Assumptions'!$B$14*'Assumptions'!$C$15*'Assumptions'!$D$15+'Assumptions'!$C$14*'Assumptions'!$D$15+'Assumptions'!$D$14*8/12</x:f>
        <x:v>124.8</x:v>
      </x:c>
      <x:c r="N36" s="93" t="n">
        <x:f>'Assumptions'!$D$16</x:f>
        <x:v>60</x:v>
      </x:c>
      <x:c r="O36" s="93" t="n">
        <x:f>M36*N36</x:f>
        <x:v>7488</x:v>
      </x:c>
      <x:c r="P36" s="92" t="n">
        <x:f>('Assumptions'!$D$8+'Assumptions'!$D$12)/12</x:f>
        <x:v>5.25</x:v>
      </x:c>
      <x:c r="Q36" s="93" t="n">
        <x:f>'Assumptions'!$D$17</x:f>
        <x:v>750</x:v>
      </x:c>
      <x:c r="R36" s="93" t="n">
        <x:f>P36*Q36</x:f>
        <x:v>3937.5</x:v>
      </x:c>
      <x:c r="S36" s="93" t="n">
        <x:f>SUM(E36,I36,L36,O36,R36)</x:f>
        <x:v>47096.83333333333</x:v>
      </x:c>
      <x:c r="T36" s="93" t="n">
        <x:f>(E36+I36+L36)*'Assumptions'!$D$18+O36*'Assumptions'!$D$19+R36*'Assumptions'!$D$20</x:f>
        <x:v>16452.85</x:v>
      </x:c>
      <x:c r="U36" s="93" t="n">
        <x:f>S36-T36</x:f>
        <x:v>30643.98333333333</x:v>
      </x:c>
    </x:row>
    <x:row r="37">
      <x:c r="A37" s="90" t="n">
        <x:v>47239</x:v>
      </x:c>
      <x:c r="B37" s="91" t="n">
        <x:v>3</x:v>
      </x:c>
      <x:c r="C37" s="91" t="n">
        <x:v>9</x:v>
      </x:c>
      <x:c r="D37" s="92" t="n">
        <x:f>'Assumptions'!$B$5*'Assumptions'!$C$6*'Assumptions'!$D$6+'Assumptions'!$C$5*'Assumptions'!$D$6+'Assumptions'!$D$5*9/12</x:f>
        <x:v>561</x:v>
      </x:c>
      <x:c r="E37" s="93" t="n">
        <x:f>D37*'Assumptions'!$D$7</x:f>
        <x:v>11220</x:v>
      </x:c>
      <x:c r="F37" s="92" t="n">
        <x:f>'Assumptions'!$B$8*'Assumptions'!$C$9*'Assumptions'!$D$9+'Assumptions'!$C$8*'Assumptions'!$D$9+'Assumptions'!$D$8*9/12</x:f>
        <x:v>88.2</x:v>
      </x:c>
      <x:c r="G37" s="92" t="n">
        <x:f>'Assumptions'!$D$10</x:f>
        <x:v>10</x:v>
      </x:c>
      <x:c r="H37" s="93" t="n">
        <x:f>'Assumptions'!$D$11</x:f>
        <x:v>24</x:v>
      </x:c>
      <x:c r="I37" s="93" t="n">
        <x:f>F37*G37*H37</x:f>
        <x:v>21168</x:v>
      </x:c>
      <x:c r="J37" s="92" t="n">
        <x:f>'Assumptions'!$B$12*'Assumptions'!$C$9*'Assumptions'!$D$9+'Assumptions'!$C$12*'Assumptions'!$D$9+'Assumptions'!$D$12*9/12</x:f>
        <x:v>3.15</x:v>
      </x:c>
      <x:c r="K37" s="93" t="n">
        <x:f>'Assumptions'!$D$13</x:f>
        <x:v>22000</x:v>
      </x:c>
      <x:c r="L37" s="93" t="n">
        <x:f>J37*K37/12</x:f>
        <x:v>5775</x:v>
      </x:c>
      <x:c r="M37" s="92" t="n">
        <x:f>'Assumptions'!$B$14*'Assumptions'!$C$15*'Assumptions'!$D$15+'Assumptions'!$C$14*'Assumptions'!$D$15+'Assumptions'!$D$14*9/12</x:f>
        <x:v>134.8</x:v>
      </x:c>
      <x:c r="N37" s="93" t="n">
        <x:f>'Assumptions'!$D$16</x:f>
        <x:v>60</x:v>
      </x:c>
      <x:c r="O37" s="93" t="n">
        <x:f>M37*N37</x:f>
        <x:v>8088.000000000001</x:v>
      </x:c>
      <x:c r="P37" s="92" t="n">
        <x:f>('Assumptions'!$D$8+'Assumptions'!$D$12)/12</x:f>
        <x:v>5.25</x:v>
      </x:c>
      <x:c r="Q37" s="93" t="n">
        <x:f>'Assumptions'!$D$17</x:f>
        <x:v>750</x:v>
      </x:c>
      <x:c r="R37" s="93" t="n">
        <x:f>P37*Q37</x:f>
        <x:v>3937.5</x:v>
      </x:c>
      <x:c r="S37" s="93" t="n">
        <x:f>SUM(E37,I37,L37,O37,R37)</x:f>
        <x:v>50188.5</x:v>
      </x:c>
      <x:c r="T37" s="93" t="n">
        <x:f>(E37+I37+L37)*'Assumptions'!$D$18+O37*'Assumptions'!$D$19+R37*'Assumptions'!$D$20</x:f>
        <x:v>17440.35</x:v>
      </x:c>
      <x:c r="U37" s="93" t="n">
        <x:f>S37-T37</x:f>
        <x:v>32748.15</x:v>
      </x:c>
    </x:row>
    <x:row r="38">
      <x:c r="A38" s="90" t="n">
        <x:v>47270</x:v>
      </x:c>
      <x:c r="B38" s="91" t="n">
        <x:v>3</x:v>
      </x:c>
      <x:c r="C38" s="91" t="n">
        <x:v>10</x:v>
      </x:c>
      <x:c r="D38" s="92" t="n">
        <x:f>'Assumptions'!$B$5*'Assumptions'!$C$6*'Assumptions'!$D$6+'Assumptions'!$C$5*'Assumptions'!$D$6+'Assumptions'!$D$5*10/12</x:f>
        <x:v>602.6666666666667</x:v>
      </x:c>
      <x:c r="E38" s="93" t="n">
        <x:f>D38*'Assumptions'!$D$7</x:f>
        <x:v>12053.333333333336</x:v>
      </x:c>
      <x:c r="F38" s="92" t="n">
        <x:f>'Assumptions'!$B$8*'Assumptions'!$C$9*'Assumptions'!$D$9+'Assumptions'!$C$8*'Assumptions'!$D$9+'Assumptions'!$D$8*10/12</x:f>
        <x:v>93.2</x:v>
      </x:c>
      <x:c r="G38" s="92" t="n">
        <x:f>'Assumptions'!$D$10</x:f>
        <x:v>10</x:v>
      </x:c>
      <x:c r="H38" s="93" t="n">
        <x:f>'Assumptions'!$D$11</x:f>
        <x:v>24</x:v>
      </x:c>
      <x:c r="I38" s="93" t="n">
        <x:f>F38*G38*H38</x:f>
        <x:v>22368</x:v>
      </x:c>
      <x:c r="J38" s="92" t="n">
        <x:f>'Assumptions'!$B$12*'Assumptions'!$C$9*'Assumptions'!$D$9+'Assumptions'!$C$12*'Assumptions'!$D$9+'Assumptions'!$D$12*10/12</x:f>
        <x:v>3.4</x:v>
      </x:c>
      <x:c r="K38" s="93" t="n">
        <x:f>'Assumptions'!$D$13</x:f>
        <x:v>22000</x:v>
      </x:c>
      <x:c r="L38" s="93" t="n">
        <x:f>J38*K38/12</x:f>
        <x:v>6233.333333333333</x:v>
      </x:c>
      <x:c r="M38" s="92" t="n">
        <x:f>'Assumptions'!$B$14*'Assumptions'!$C$15*'Assumptions'!$D$15+'Assumptions'!$C$14*'Assumptions'!$D$15+'Assumptions'!$D$14*10/12</x:f>
        <x:v>144.8</x:v>
      </x:c>
      <x:c r="N38" s="93" t="n">
        <x:f>'Assumptions'!$D$16</x:f>
        <x:v>60</x:v>
      </x:c>
      <x:c r="O38" s="93" t="n">
        <x:f>M38*N38</x:f>
        <x:v>8688</x:v>
      </x:c>
      <x:c r="P38" s="92" t="n">
        <x:f>('Assumptions'!$D$8+'Assumptions'!$D$12)/12</x:f>
        <x:v>5.25</x:v>
      </x:c>
      <x:c r="Q38" s="93" t="n">
        <x:f>'Assumptions'!$D$17</x:f>
        <x:v>750</x:v>
      </x:c>
      <x:c r="R38" s="93" t="n">
        <x:f>P38*Q38</x:f>
        <x:v>3937.5</x:v>
      </x:c>
      <x:c r="S38" s="93" t="n">
        <x:f>SUM(E38,I38,L38,O38,R38)</x:f>
        <x:v>53280.16666666667</x:v>
      </x:c>
      <x:c r="T38" s="93" t="n">
        <x:f>(E38+I38+L38)*'Assumptions'!$D$18+O38*'Assumptions'!$D$19+R38*'Assumptions'!$D$20</x:f>
        <x:v>18427.850000000002</x:v>
      </x:c>
      <x:c r="U38" s="93" t="n">
        <x:f>S38-T38</x:f>
        <x:v>34852.316666666666</x:v>
      </x:c>
    </x:row>
    <x:row r="39">
      <x:c r="A39" s="90" t="n">
        <x:v>47300</x:v>
      </x:c>
      <x:c r="B39" s="91" t="n">
        <x:v>3</x:v>
      </x:c>
      <x:c r="C39" s="91" t="n">
        <x:v>11</x:v>
      </x:c>
      <x:c r="D39" s="92" t="n">
        <x:f>'Assumptions'!$B$5*'Assumptions'!$C$6*'Assumptions'!$D$6+'Assumptions'!$C$5*'Assumptions'!$D$6+'Assumptions'!$D$5*11/12</x:f>
        <x:v>644.3333333333333</x:v>
      </x:c>
      <x:c r="E39" s="93" t="n">
        <x:f>D39*'Assumptions'!$D$7</x:f>
        <x:v>12886.666666666664</x:v>
      </x:c>
      <x:c r="F39" s="92" t="n">
        <x:f>'Assumptions'!$B$8*'Assumptions'!$C$9*'Assumptions'!$D$9+'Assumptions'!$C$8*'Assumptions'!$D$9+'Assumptions'!$D$8*11/12</x:f>
        <x:v>98.2</x:v>
      </x:c>
      <x:c r="G39" s="92" t="n">
        <x:f>'Assumptions'!$D$10</x:f>
        <x:v>10</x:v>
      </x:c>
      <x:c r="H39" s="93" t="n">
        <x:f>'Assumptions'!$D$11</x:f>
        <x:v>24</x:v>
      </x:c>
      <x:c r="I39" s="93" t="n">
        <x:f>F39*G39*H39</x:f>
        <x:v>23568</x:v>
      </x:c>
      <x:c r="J39" s="92" t="n">
        <x:f>'Assumptions'!$B$12*'Assumptions'!$C$9*'Assumptions'!$D$9+'Assumptions'!$C$12*'Assumptions'!$D$9+'Assumptions'!$D$12*11/12</x:f>
        <x:v>3.65</x:v>
      </x:c>
      <x:c r="K39" s="93" t="n">
        <x:f>'Assumptions'!$D$13</x:f>
        <x:v>22000</x:v>
      </x:c>
      <x:c r="L39" s="93" t="n">
        <x:f>J39*K39/12</x:f>
        <x:v>6691.666666666667</x:v>
      </x:c>
      <x:c r="M39" s="92" t="n">
        <x:f>'Assumptions'!$B$14*'Assumptions'!$C$15*'Assumptions'!$D$15+'Assumptions'!$C$14*'Assumptions'!$D$15+'Assumptions'!$D$14*11/12</x:f>
        <x:v>154.8</x:v>
      </x:c>
      <x:c r="N39" s="93" t="n">
        <x:f>'Assumptions'!$D$16</x:f>
        <x:v>60</x:v>
      </x:c>
      <x:c r="O39" s="93" t="n">
        <x:f>M39*N39</x:f>
        <x:v>9288</x:v>
      </x:c>
      <x:c r="P39" s="92" t="n">
        <x:f>('Assumptions'!$D$8+'Assumptions'!$D$12)/12</x:f>
        <x:v>5.25</x:v>
      </x:c>
      <x:c r="Q39" s="93" t="n">
        <x:f>'Assumptions'!$D$17</x:f>
        <x:v>750</x:v>
      </x:c>
      <x:c r="R39" s="93" t="n">
        <x:f>P39*Q39</x:f>
        <x:v>3937.5</x:v>
      </x:c>
      <x:c r="S39" s="93" t="n">
        <x:f>SUM(E39,I39,L39,O39,R39)</x:f>
        <x:v>56371.83333333333</x:v>
      </x:c>
      <x:c r="T39" s="93" t="n">
        <x:f>(E39+I39+L39)*'Assumptions'!$D$18+O39*'Assumptions'!$D$19+R39*'Assumptions'!$D$20</x:f>
        <x:v>19415.35</x:v>
      </x:c>
      <x:c r="U39" s="93" t="n">
        <x:f>S39-T39</x:f>
        <x:v>36956.48333333333</x:v>
      </x:c>
    </x:row>
    <x:row r="40">
      <x:c r="A40" s="90" t="n">
        <x:v>47331</x:v>
      </x:c>
      <x:c r="B40" s="91" t="n">
        <x:v>3</x:v>
      </x:c>
      <x:c r="C40" s="91" t="n">
        <x:v>12</x:v>
      </x:c>
      <x:c r="D40" s="92" t="n">
        <x:f>'Assumptions'!$B$5*'Assumptions'!$C$6*'Assumptions'!$D$6+'Assumptions'!$C$5*'Assumptions'!$D$6+'Assumptions'!$D$5*12/12</x:f>
        <x:v>686</x:v>
      </x:c>
      <x:c r="E40" s="93" t="n">
        <x:f>D40*'Assumptions'!$D$7</x:f>
        <x:v>13720</x:v>
      </x:c>
      <x:c r="F40" s="92" t="n">
        <x:f>'Assumptions'!$B$8*'Assumptions'!$C$9*'Assumptions'!$D$9+'Assumptions'!$C$8*'Assumptions'!$D$9+'Assumptions'!$D$8*12/12</x:f>
        <x:v>103.2</x:v>
      </x:c>
      <x:c r="G40" s="92" t="n">
        <x:f>'Assumptions'!$D$10</x:f>
        <x:v>10</x:v>
      </x:c>
      <x:c r="H40" s="93" t="n">
        <x:f>'Assumptions'!$D$11</x:f>
        <x:v>24</x:v>
      </x:c>
      <x:c r="I40" s="93" t="n">
        <x:f>F40*G40*H40</x:f>
        <x:v>24768</x:v>
      </x:c>
      <x:c r="J40" s="92" t="n">
        <x:f>'Assumptions'!$B$12*'Assumptions'!$C$9*'Assumptions'!$D$9+'Assumptions'!$C$12*'Assumptions'!$D$9+'Assumptions'!$D$12*12/12</x:f>
        <x:v>3.9</x:v>
      </x:c>
      <x:c r="K40" s="93" t="n">
        <x:f>'Assumptions'!$D$13</x:f>
        <x:v>22000</x:v>
      </x:c>
      <x:c r="L40" s="93" t="n">
        <x:f>J40*K40/12</x:f>
        <x:v>7150</x:v>
      </x:c>
      <x:c r="M40" s="92" t="n">
        <x:f>'Assumptions'!$B$14*'Assumptions'!$C$15*'Assumptions'!$D$15+'Assumptions'!$C$14*'Assumptions'!$D$15+'Assumptions'!$D$14*12/12</x:f>
        <x:v>164.8</x:v>
      </x:c>
      <x:c r="N40" s="93" t="n">
        <x:f>'Assumptions'!$D$16</x:f>
        <x:v>60</x:v>
      </x:c>
      <x:c r="O40" s="93" t="n">
        <x:f>M40*N40</x:f>
        <x:v>9888</x:v>
      </x:c>
      <x:c r="P40" s="92" t="n">
        <x:f>('Assumptions'!$D$8+'Assumptions'!$D$12)/12</x:f>
        <x:v>5.25</x:v>
      </x:c>
      <x:c r="Q40" s="93" t="n">
        <x:f>'Assumptions'!$D$17</x:f>
        <x:v>750</x:v>
      </x:c>
      <x:c r="R40" s="93" t="n">
        <x:f>P40*Q40</x:f>
        <x:v>3937.5</x:v>
      </x:c>
      <x:c r="S40" s="93" t="n">
        <x:f>SUM(E40,I40,L40,O40,R40)</x:f>
        <x:v>59463.5</x:v>
      </x:c>
      <x:c r="T40" s="93" t="n">
        <x:f>(E40+I40+L40)*'Assumptions'!$D$18+O40*'Assumptions'!$D$19+R40*'Assumptions'!$D$20</x:f>
        <x:v>20402.85</x:v>
      </x:c>
      <x:c r="U40" s="93" t="n">
        <x:f>S40-T40</x:f>
        <x:v>39060.65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4" hidden="0" customWidth="1"/>
    <x:col min="11" max="11" width="14" hidden="0" customWidth="1"/>
    <x:col min="12" max="12" width="10" hidden="0" customWidth="1"/>
    <x:col min="13" max="13" width="14" hidden="0" customWidth="1"/>
    <x:col min="14" max="14" width="13" hidden="0" customWidth="1"/>
    <x:col min="15" max="15" width="14" hidden="0" customWidth="1"/>
    <x:col min="16" max="16" width="13" hidden="0" customWidth="1"/>
    <x:col min="17" max="17" width="14" hidden="0" customWidth="1"/>
    <x:col min="18" max="18" width="15" hidden="0" customWidth="1"/>
    <x:col min="19" max="19" width="16" hidden="0" customWidth="1"/>
    <x:col min="20" max="20" width="14" hidden="0" customWidth="1"/>
    <x:col min="21" max="21" width="15" hidden="0" customWidth="1"/>
  </x:cols>
  <x:sheetData>
    <x:row r="1" ht="30" customHeight="1">
      <x:c r="A1" s="64" t="str">
        <x:v>MIMAR Engage — Monthly Cohort Revenue Build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</x:row>
    <x:row r="2" ht="24" customHeight="1">
      <x:c r="A2" s="66" t="str">
        <x:v>Retained workspaces remain active at the annual retention rate; onboarding is charged only on gross new cohorts.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  <x:c r="P2" s="65"/>
      <x:c r="Q2" s="65"/>
      <x:c r="R2" s="65"/>
      <x:c r="S2" s="65"/>
      <x:c r="T2" s="65"/>
      <x:c r="U2" s="65"/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  <x:c r="M3" s="67"/>
      <x:c r="N3" s="67"/>
      <x:c r="O3" s="67"/>
      <x:c r="P3" s="67"/>
      <x:c r="Q3" s="67"/>
      <x:c r="R3" s="67"/>
      <x:c r="S3" s="67"/>
      <x:c r="T3" s="67"/>
      <x:c r="U3" s="67"/>
    </x:row>
    <x:row r="4" ht="38" customHeight="1">
      <x:c r="A4" s="89" t="str">
        <x:v>Month</x:v>
      </x:c>
      <x:c r="B4" s="89" t="str">
        <x:v>Year</x:v>
      </x:c>
      <x:c r="C4" s="89" t="str">
        <x:v>Month in year</x:v>
      </x:c>
      <x:c r="D4" s="89" t="str">
        <x:v>Starter accts</x:v>
      </x:c>
      <x:c r="E4" s="89" t="str">
        <x:v>Starter rev.</x:v>
      </x:c>
      <x:c r="F4" s="89" t="str">
        <x:v>Growth accts</x:v>
      </x:c>
      <x:c r="G4" s="89" t="str">
        <x:v>Growth rev.</x:v>
      </x:c>
      <x:c r="H4" s="89" t="str">
        <x:v>Scale accts</x:v>
      </x:c>
      <x:c r="I4" s="89" t="str">
        <x:v>Scale rev.</x:v>
      </x:c>
      <x:c r="J4" s="89" t="str">
        <x:v>Enterprise accts</x:v>
      </x:c>
      <x:c r="K4" s="89" t="str">
        <x:v>Enterprise rev.</x:v>
      </x:c>
      <x:c r="L4" s="89" t="str">
        <x:v>Usage %</x:v>
      </x:c>
      <x:c r="M4" s="89" t="str">
        <x:v>Usage / add-ons</x:v>
      </x:c>
      <x:c r="N4" s="89" t="str">
        <x:v>New standard</x:v>
      </x:c>
      <x:c r="O4" s="89" t="str">
        <x:v>Std onboarding fee</x:v>
      </x:c>
      <x:c r="P4" s="89" t="str">
        <x:v>New enterprise</x:v>
      </x:c>
      <x:c r="Q4" s="89" t="str">
        <x:v>Ent onboarding fee</x:v>
      </x:c>
      <x:c r="R4" s="89" t="str">
        <x:v>Onboarding rev.</x:v>
      </x:c>
      <x:c r="S4" s="89" t="str">
        <x:v>ENGAGE REVENUE</x:v>
      </x:c>
      <x:c r="T4" s="89" t="str">
        <x:v>COGS</x:v>
      </x:c>
      <x:c r="U4" s="89" t="str">
        <x:v>GROSS PROFIT</x:v>
      </x:c>
    </x:row>
    <x:row r="5">
      <x:c r="A5" s="90" t="n">
        <x:v>46266</x:v>
      </x:c>
      <x:c r="B5" s="91" t="n">
        <x:v>1</x:v>
      </x:c>
      <x:c r="C5" s="91" t="n">
        <x:v>1</x:v>
      </x:c>
      <x:c r="D5" s="92" t="n">
        <x:f>'Assumptions'!$B$22*1/12</x:f>
        <x:v>1.25</x:v>
      </x:c>
      <x:c r="E5" s="93" t="n">
        <x:f>D5*'Assumptions'!$B$23</x:f>
        <x:v>123.75</x:v>
      </x:c>
      <x:c r="F5" s="92" t="n">
        <x:f>'Assumptions'!$B$24*1/12</x:f>
        <x:v>1</x:v>
      </x:c>
      <x:c r="G5" s="93" t="n">
        <x:f>F5*'Assumptions'!$B$25</x:f>
        <x:v>249</x:v>
      </x:c>
      <x:c r="H5" s="92" t="n">
        <x:f>'Assumptions'!$B$26*1/12</x:f>
        <x:v>0.25</x:v>
      </x:c>
      <x:c r="I5" s="93" t="n">
        <x:f>H5*'Assumptions'!$B$27</x:f>
        <x:v>149.75</x:v>
      </x:c>
      <x:c r="J5" s="92" t="n">
        <x:f>'Assumptions'!$B$28*1/12</x:f>
        <x:v>0</x:v>
      </x:c>
      <x:c r="K5" s="93" t="n">
        <x:f>J5*'Assumptions'!$B$29</x:f>
        <x:v>0</x:v>
      </x:c>
      <x:c r="L5" s="94" t="n">
        <x:f>'Assumptions'!$B$31</x:f>
        <x:v>0</x:v>
      </x:c>
      <x:c r="M5" s="93" t="n">
        <x:f>SUM(E5,G5,I5,K5)*L5</x:f>
        <x:v>0</x:v>
      </x:c>
      <x:c r="N5" s="92" t="n">
        <x:f>SUM('Assumptions'!$B$22,'Assumptions'!$B$24,'Assumptions'!$B$26)/12</x:f>
        <x:v>2.5</x:v>
      </x:c>
      <x:c r="O5" s="93" t="n">
        <x:f>'Assumptions'!$B$32</x:f>
        <x:v>600</x:v>
      </x:c>
      <x:c r="P5" s="92" t="n">
        <x:f>'Assumptions'!$B$28/12</x:f>
        <x:v>0</x:v>
      </x:c>
      <x:c r="Q5" s="93" t="n">
        <x:f>'Assumptions'!$B$33</x:f>
        <x:v>3000</x:v>
      </x:c>
      <x:c r="R5" s="93" t="n">
        <x:f>N5*O5+P5*Q5</x:f>
        <x:v>1500</x:v>
      </x:c>
      <x:c r="S5" s="93" t="n">
        <x:f>SUM(E5,G5,I5,K5,M5,R5)</x:f>
        <x:v>2022.5</x:v>
      </x:c>
      <x:c r="T5" s="93" t="n">
        <x:f>SUM(E5,G5,I5,K5)*'Assumptions'!$B$34+M5*'Assumptions'!$B$35+R5*'Assumptions'!$B$36</x:f>
        <x:v>1232.875</x:v>
      </x:c>
      <x:c r="U5" s="93" t="n">
        <x:f>S5-T5</x:f>
        <x:v>789.625</x:v>
      </x:c>
    </x:row>
    <x:row r="6">
      <x:c r="A6" s="90" t="n">
        <x:v>46296</x:v>
      </x:c>
      <x:c r="B6" s="91" t="n">
        <x:v>1</x:v>
      </x:c>
      <x:c r="C6" s="91" t="n">
        <x:v>2</x:v>
      </x:c>
      <x:c r="D6" s="92" t="n">
        <x:f>'Assumptions'!$B$22*2/12</x:f>
        <x:v>2.5</x:v>
      </x:c>
      <x:c r="E6" s="93" t="n">
        <x:f>D6*'Assumptions'!$B$23</x:f>
        <x:v>247.5</x:v>
      </x:c>
      <x:c r="F6" s="92" t="n">
        <x:f>'Assumptions'!$B$24*2/12</x:f>
        <x:v>2</x:v>
      </x:c>
      <x:c r="G6" s="93" t="n">
        <x:f>F6*'Assumptions'!$B$25</x:f>
        <x:v>498</x:v>
      </x:c>
      <x:c r="H6" s="92" t="n">
        <x:f>'Assumptions'!$B$26*2/12</x:f>
        <x:v>0.5</x:v>
      </x:c>
      <x:c r="I6" s="93" t="n">
        <x:f>H6*'Assumptions'!$B$27</x:f>
        <x:v>299.5</x:v>
      </x:c>
      <x:c r="J6" s="92" t="n">
        <x:f>'Assumptions'!$B$28*2/12</x:f>
        <x:v>0</x:v>
      </x:c>
      <x:c r="K6" s="93" t="n">
        <x:f>J6*'Assumptions'!$B$29</x:f>
        <x:v>0</x:v>
      </x:c>
      <x:c r="L6" s="94" t="n">
        <x:f>'Assumptions'!$B$31</x:f>
        <x:v>0</x:v>
      </x:c>
      <x:c r="M6" s="93" t="n">
        <x:f>SUM(E6,G6,I6,K6)*L6</x:f>
        <x:v>0</x:v>
      </x:c>
      <x:c r="N6" s="92" t="n">
        <x:f>SUM('Assumptions'!$B$22,'Assumptions'!$B$24,'Assumptions'!$B$26)/12</x:f>
        <x:v>2.5</x:v>
      </x:c>
      <x:c r="O6" s="93" t="n">
        <x:f>'Assumptions'!$B$32</x:f>
        <x:v>600</x:v>
      </x:c>
      <x:c r="P6" s="92" t="n">
        <x:f>'Assumptions'!$B$28/12</x:f>
        <x:v>0</x:v>
      </x:c>
      <x:c r="Q6" s="93" t="n">
        <x:f>'Assumptions'!$B$33</x:f>
        <x:v>3000</x:v>
      </x:c>
      <x:c r="R6" s="93" t="n">
        <x:f>N6*O6+P6*Q6</x:f>
        <x:v>1500</x:v>
      </x:c>
      <x:c r="S6" s="93" t="n">
        <x:f>SUM(E6,G6,I6,K6,M6,R6)</x:f>
        <x:v>2545</x:v>
      </x:c>
      <x:c r="T6" s="93" t="n">
        <x:f>SUM(E6,G6,I6,K6)*'Assumptions'!$B$34+M6*'Assumptions'!$B$35+R6*'Assumptions'!$B$36</x:f>
        <x:v>1415.75</x:v>
      </x:c>
      <x:c r="U6" s="93" t="n">
        <x:f>S6-T6</x:f>
        <x:v>1129.25</x:v>
      </x:c>
    </x:row>
    <x:row r="7">
      <x:c r="A7" s="90" t="n">
        <x:v>46327</x:v>
      </x:c>
      <x:c r="B7" s="91" t="n">
        <x:v>1</x:v>
      </x:c>
      <x:c r="C7" s="91" t="n">
        <x:v>3</x:v>
      </x:c>
      <x:c r="D7" s="92" t="n">
        <x:f>'Assumptions'!$B$22*3/12</x:f>
        <x:v>3.75</x:v>
      </x:c>
      <x:c r="E7" s="93" t="n">
        <x:f>D7*'Assumptions'!$B$23</x:f>
        <x:v>371.25</x:v>
      </x:c>
      <x:c r="F7" s="92" t="n">
        <x:f>'Assumptions'!$B$24*3/12</x:f>
        <x:v>3</x:v>
      </x:c>
      <x:c r="G7" s="93" t="n">
        <x:f>F7*'Assumptions'!$B$25</x:f>
        <x:v>747</x:v>
      </x:c>
      <x:c r="H7" s="92" t="n">
        <x:f>'Assumptions'!$B$26*3/12</x:f>
        <x:v>0.75</x:v>
      </x:c>
      <x:c r="I7" s="93" t="n">
        <x:f>H7*'Assumptions'!$B$27</x:f>
        <x:v>449.25</x:v>
      </x:c>
      <x:c r="J7" s="92" t="n">
        <x:f>'Assumptions'!$B$28*3/12</x:f>
        <x:v>0</x:v>
      </x:c>
      <x:c r="K7" s="93" t="n">
        <x:f>J7*'Assumptions'!$B$29</x:f>
        <x:v>0</x:v>
      </x:c>
      <x:c r="L7" s="94" t="n">
        <x:f>'Assumptions'!$B$31</x:f>
        <x:v>0</x:v>
      </x:c>
      <x:c r="M7" s="93" t="n">
        <x:f>SUM(E7,G7,I7,K7)*L7</x:f>
        <x:v>0</x:v>
      </x:c>
      <x:c r="N7" s="92" t="n">
        <x:f>SUM('Assumptions'!$B$22,'Assumptions'!$B$24,'Assumptions'!$B$26)/12</x:f>
        <x:v>2.5</x:v>
      </x:c>
      <x:c r="O7" s="93" t="n">
        <x:f>'Assumptions'!$B$32</x:f>
        <x:v>600</x:v>
      </x:c>
      <x:c r="P7" s="92" t="n">
        <x:f>'Assumptions'!$B$28/12</x:f>
        <x:v>0</x:v>
      </x:c>
      <x:c r="Q7" s="93" t="n">
        <x:f>'Assumptions'!$B$33</x:f>
        <x:v>3000</x:v>
      </x:c>
      <x:c r="R7" s="93" t="n">
        <x:f>N7*O7+P7*Q7</x:f>
        <x:v>1500</x:v>
      </x:c>
      <x:c r="S7" s="93" t="n">
        <x:f>SUM(E7,G7,I7,K7,M7,R7)</x:f>
        <x:v>3067.5</x:v>
      </x:c>
      <x:c r="T7" s="93" t="n">
        <x:f>SUM(E7,G7,I7,K7)*'Assumptions'!$B$34+M7*'Assumptions'!$B$35+R7*'Assumptions'!$B$36</x:f>
        <x:v>1598.625</x:v>
      </x:c>
      <x:c r="U7" s="93" t="n">
        <x:f>S7-T7</x:f>
        <x:v>1468.875</x:v>
      </x:c>
    </x:row>
    <x:row r="8">
      <x:c r="A8" s="90" t="n">
        <x:v>46357</x:v>
      </x:c>
      <x:c r="B8" s="91" t="n">
        <x:v>1</x:v>
      </x:c>
      <x:c r="C8" s="91" t="n">
        <x:v>4</x:v>
      </x:c>
      <x:c r="D8" s="92" t="n">
        <x:f>'Assumptions'!$B$22*4/12</x:f>
        <x:v>5</x:v>
      </x:c>
      <x:c r="E8" s="93" t="n">
        <x:f>D8*'Assumptions'!$B$23</x:f>
        <x:v>495</x:v>
      </x:c>
      <x:c r="F8" s="92" t="n">
        <x:f>'Assumptions'!$B$24*4/12</x:f>
        <x:v>4</x:v>
      </x:c>
      <x:c r="G8" s="93" t="n">
        <x:f>F8*'Assumptions'!$B$25</x:f>
        <x:v>996</x:v>
      </x:c>
      <x:c r="H8" s="92" t="n">
        <x:f>'Assumptions'!$B$26*4/12</x:f>
        <x:v>1</x:v>
      </x:c>
      <x:c r="I8" s="93" t="n">
        <x:f>H8*'Assumptions'!$B$27</x:f>
        <x:v>599</x:v>
      </x:c>
      <x:c r="J8" s="92" t="n">
        <x:f>'Assumptions'!$B$28*4/12</x:f>
        <x:v>0</x:v>
      </x:c>
      <x:c r="K8" s="93" t="n">
        <x:f>J8*'Assumptions'!$B$29</x:f>
        <x:v>0</x:v>
      </x:c>
      <x:c r="L8" s="94" t="n">
        <x:f>'Assumptions'!$B$31</x:f>
        <x:v>0</x:v>
      </x:c>
      <x:c r="M8" s="93" t="n">
        <x:f>SUM(E8,G8,I8,K8)*L8</x:f>
        <x:v>0</x:v>
      </x:c>
      <x:c r="N8" s="92" t="n">
        <x:f>SUM('Assumptions'!$B$22,'Assumptions'!$B$24,'Assumptions'!$B$26)/12</x:f>
        <x:v>2.5</x:v>
      </x:c>
      <x:c r="O8" s="93" t="n">
        <x:f>'Assumptions'!$B$32</x:f>
        <x:v>600</x:v>
      </x:c>
      <x:c r="P8" s="92" t="n">
        <x:f>'Assumptions'!$B$28/12</x:f>
        <x:v>0</x:v>
      </x:c>
      <x:c r="Q8" s="93" t="n">
        <x:f>'Assumptions'!$B$33</x:f>
        <x:v>3000</x:v>
      </x:c>
      <x:c r="R8" s="93" t="n">
        <x:f>N8*O8+P8*Q8</x:f>
        <x:v>1500</x:v>
      </x:c>
      <x:c r="S8" s="93" t="n">
        <x:f>SUM(E8,G8,I8,K8,M8,R8)</x:f>
        <x:v>3590</x:v>
      </x:c>
      <x:c r="T8" s="93" t="n">
        <x:f>SUM(E8,G8,I8,K8)*'Assumptions'!$B$34+M8*'Assumptions'!$B$35+R8*'Assumptions'!$B$36</x:f>
        <x:v>1781.5</x:v>
      </x:c>
      <x:c r="U8" s="93" t="n">
        <x:f>S8-T8</x:f>
        <x:v>1808.5</x:v>
      </x:c>
    </x:row>
    <x:row r="9">
      <x:c r="A9" s="90" t="n">
        <x:v>46388</x:v>
      </x:c>
      <x:c r="B9" s="91" t="n">
        <x:v>1</x:v>
      </x:c>
      <x:c r="C9" s="91" t="n">
        <x:v>5</x:v>
      </x:c>
      <x:c r="D9" s="92" t="n">
        <x:f>'Assumptions'!$B$22*5/12</x:f>
        <x:v>6.25</x:v>
      </x:c>
      <x:c r="E9" s="93" t="n">
        <x:f>D9*'Assumptions'!$B$23</x:f>
        <x:v>618.75</x:v>
      </x:c>
      <x:c r="F9" s="92" t="n">
        <x:f>'Assumptions'!$B$24*5/12</x:f>
        <x:v>5</x:v>
      </x:c>
      <x:c r="G9" s="93" t="n">
        <x:f>F9*'Assumptions'!$B$25</x:f>
        <x:v>1245</x:v>
      </x:c>
      <x:c r="H9" s="92" t="n">
        <x:f>'Assumptions'!$B$26*5/12</x:f>
        <x:v>1.25</x:v>
      </x:c>
      <x:c r="I9" s="93" t="n">
        <x:f>H9*'Assumptions'!$B$27</x:f>
        <x:v>748.75</x:v>
      </x:c>
      <x:c r="J9" s="92" t="n">
        <x:f>'Assumptions'!$B$28*5/12</x:f>
        <x:v>0</x:v>
      </x:c>
      <x:c r="K9" s="93" t="n">
        <x:f>J9*'Assumptions'!$B$29</x:f>
        <x:v>0</x:v>
      </x:c>
      <x:c r="L9" s="94" t="n">
        <x:f>'Assumptions'!$B$31</x:f>
        <x:v>0</x:v>
      </x:c>
      <x:c r="M9" s="93" t="n">
        <x:f>SUM(E9,G9,I9,K9)*L9</x:f>
        <x:v>0</x:v>
      </x:c>
      <x:c r="N9" s="92" t="n">
        <x:f>SUM('Assumptions'!$B$22,'Assumptions'!$B$24,'Assumptions'!$B$26)/12</x:f>
        <x:v>2.5</x:v>
      </x:c>
      <x:c r="O9" s="93" t="n">
        <x:f>'Assumptions'!$B$32</x:f>
        <x:v>600</x:v>
      </x:c>
      <x:c r="P9" s="92" t="n">
        <x:f>'Assumptions'!$B$28/12</x:f>
        <x:v>0</x:v>
      </x:c>
      <x:c r="Q9" s="93" t="n">
        <x:f>'Assumptions'!$B$33</x:f>
        <x:v>3000</x:v>
      </x:c>
      <x:c r="R9" s="93" t="n">
        <x:f>N9*O9+P9*Q9</x:f>
        <x:v>1500</x:v>
      </x:c>
      <x:c r="S9" s="93" t="n">
        <x:f>SUM(E9,G9,I9,K9,M9,R9)</x:f>
        <x:v>4112.5</x:v>
      </x:c>
      <x:c r="T9" s="93" t="n">
        <x:f>SUM(E9,G9,I9,K9)*'Assumptions'!$B$34+M9*'Assumptions'!$B$35+R9*'Assumptions'!$B$36</x:f>
        <x:v>1964.375</x:v>
      </x:c>
      <x:c r="U9" s="93" t="n">
        <x:f>S9-T9</x:f>
        <x:v>2148.125</x:v>
      </x:c>
    </x:row>
    <x:row r="10">
      <x:c r="A10" s="90" t="n">
        <x:v>46419</x:v>
      </x:c>
      <x:c r="B10" s="91" t="n">
        <x:v>1</x:v>
      </x:c>
      <x:c r="C10" s="91" t="n">
        <x:v>6</x:v>
      </x:c>
      <x:c r="D10" s="92" t="n">
        <x:f>'Assumptions'!$B$22*6/12</x:f>
        <x:v>7.5</x:v>
      </x:c>
      <x:c r="E10" s="93" t="n">
        <x:f>D10*'Assumptions'!$B$23</x:f>
        <x:v>742.5</x:v>
      </x:c>
      <x:c r="F10" s="92" t="n">
        <x:f>'Assumptions'!$B$24*6/12</x:f>
        <x:v>6</x:v>
      </x:c>
      <x:c r="G10" s="93" t="n">
        <x:f>F10*'Assumptions'!$B$25</x:f>
        <x:v>1494</x:v>
      </x:c>
      <x:c r="H10" s="92" t="n">
        <x:f>'Assumptions'!$B$26*6/12</x:f>
        <x:v>1.5</x:v>
      </x:c>
      <x:c r="I10" s="93" t="n">
        <x:f>H10*'Assumptions'!$B$27</x:f>
        <x:v>898.5</x:v>
      </x:c>
      <x:c r="J10" s="92" t="n">
        <x:f>'Assumptions'!$B$28*6/12</x:f>
        <x:v>0</x:v>
      </x:c>
      <x:c r="K10" s="93" t="n">
        <x:f>J10*'Assumptions'!$B$29</x:f>
        <x:v>0</x:v>
      </x:c>
      <x:c r="L10" s="94" t="n">
        <x:f>'Assumptions'!$B$31</x:f>
        <x:v>0</x:v>
      </x:c>
      <x:c r="M10" s="93" t="n">
        <x:f>SUM(E10,G10,I10,K10)*L10</x:f>
        <x:v>0</x:v>
      </x:c>
      <x:c r="N10" s="92" t="n">
        <x:f>SUM('Assumptions'!$B$22,'Assumptions'!$B$24,'Assumptions'!$B$26)/12</x:f>
        <x:v>2.5</x:v>
      </x:c>
      <x:c r="O10" s="93" t="n">
        <x:f>'Assumptions'!$B$32</x:f>
        <x:v>600</x:v>
      </x:c>
      <x:c r="P10" s="92" t="n">
        <x:f>'Assumptions'!$B$28/12</x:f>
        <x:v>0</x:v>
      </x:c>
      <x:c r="Q10" s="93" t="n">
        <x:f>'Assumptions'!$B$33</x:f>
        <x:v>3000</x:v>
      </x:c>
      <x:c r="R10" s="93" t="n">
        <x:f>N10*O10+P10*Q10</x:f>
        <x:v>1500</x:v>
      </x:c>
      <x:c r="S10" s="93" t="n">
        <x:f>SUM(E10,G10,I10,K10,M10,R10)</x:f>
        <x:v>4635</x:v>
      </x:c>
      <x:c r="T10" s="93" t="n">
        <x:f>SUM(E10,G10,I10,K10)*'Assumptions'!$B$34+M10*'Assumptions'!$B$35+R10*'Assumptions'!$B$36</x:f>
        <x:v>2147.25</x:v>
      </x:c>
      <x:c r="U10" s="93" t="n">
        <x:f>S10-T10</x:f>
        <x:v>2487.75</x:v>
      </x:c>
    </x:row>
    <x:row r="11">
      <x:c r="A11" s="90" t="n">
        <x:v>46447</x:v>
      </x:c>
      <x:c r="B11" s="91" t="n">
        <x:v>1</x:v>
      </x:c>
      <x:c r="C11" s="91" t="n">
        <x:v>7</x:v>
      </x:c>
      <x:c r="D11" s="92" t="n">
        <x:f>'Assumptions'!$B$22*7/12</x:f>
        <x:v>8.75</x:v>
      </x:c>
      <x:c r="E11" s="93" t="n">
        <x:f>D11*'Assumptions'!$B$23</x:f>
        <x:v>866.25</x:v>
      </x:c>
      <x:c r="F11" s="92" t="n">
        <x:f>'Assumptions'!$B$24*7/12</x:f>
        <x:v>7</x:v>
      </x:c>
      <x:c r="G11" s="93" t="n">
        <x:f>F11*'Assumptions'!$B$25</x:f>
        <x:v>1743</x:v>
      </x:c>
      <x:c r="H11" s="92" t="n">
        <x:f>'Assumptions'!$B$26*7/12</x:f>
        <x:v>1.75</x:v>
      </x:c>
      <x:c r="I11" s="93" t="n">
        <x:f>H11*'Assumptions'!$B$27</x:f>
        <x:v>1048.25</x:v>
      </x:c>
      <x:c r="J11" s="92" t="n">
        <x:f>'Assumptions'!$B$28*7/12</x:f>
        <x:v>0</x:v>
      </x:c>
      <x:c r="K11" s="93" t="n">
        <x:f>J11*'Assumptions'!$B$29</x:f>
        <x:v>0</x:v>
      </x:c>
      <x:c r="L11" s="94" t="n">
        <x:f>'Assumptions'!$B$31</x:f>
        <x:v>0</x:v>
      </x:c>
      <x:c r="M11" s="93" t="n">
        <x:f>SUM(E11,G11,I11,K11)*L11</x:f>
        <x:v>0</x:v>
      </x:c>
      <x:c r="N11" s="92" t="n">
        <x:f>SUM('Assumptions'!$B$22,'Assumptions'!$B$24,'Assumptions'!$B$26)/12</x:f>
        <x:v>2.5</x:v>
      </x:c>
      <x:c r="O11" s="93" t="n">
        <x:f>'Assumptions'!$B$32</x:f>
        <x:v>600</x:v>
      </x:c>
      <x:c r="P11" s="92" t="n">
        <x:f>'Assumptions'!$B$28/12</x:f>
        <x:v>0</x:v>
      </x:c>
      <x:c r="Q11" s="93" t="n">
        <x:f>'Assumptions'!$B$33</x:f>
        <x:v>3000</x:v>
      </x:c>
      <x:c r="R11" s="93" t="n">
        <x:f>N11*O11+P11*Q11</x:f>
        <x:v>1500</x:v>
      </x:c>
      <x:c r="S11" s="93" t="n">
        <x:f>SUM(E11,G11,I11,K11,M11,R11)</x:f>
        <x:v>5157.5</x:v>
      </x:c>
      <x:c r="T11" s="93" t="n">
        <x:f>SUM(E11,G11,I11,K11)*'Assumptions'!$B$34+M11*'Assumptions'!$B$35+R11*'Assumptions'!$B$36</x:f>
        <x:v>2330.125</x:v>
      </x:c>
      <x:c r="U11" s="93" t="n">
        <x:f>S11-T11</x:f>
        <x:v>2827.375</x:v>
      </x:c>
    </x:row>
    <x:row r="12">
      <x:c r="A12" s="90" t="n">
        <x:v>46478</x:v>
      </x:c>
      <x:c r="B12" s="91" t="n">
        <x:v>1</x:v>
      </x:c>
      <x:c r="C12" s="91" t="n">
        <x:v>8</x:v>
      </x:c>
      <x:c r="D12" s="92" t="n">
        <x:f>'Assumptions'!$B$22*8/12</x:f>
        <x:v>10</x:v>
      </x:c>
      <x:c r="E12" s="93" t="n">
        <x:f>D12*'Assumptions'!$B$23</x:f>
        <x:v>990</x:v>
      </x:c>
      <x:c r="F12" s="92" t="n">
        <x:f>'Assumptions'!$B$24*8/12</x:f>
        <x:v>8</x:v>
      </x:c>
      <x:c r="G12" s="93" t="n">
        <x:f>F12*'Assumptions'!$B$25</x:f>
        <x:v>1992</x:v>
      </x:c>
      <x:c r="H12" s="92" t="n">
        <x:f>'Assumptions'!$B$26*8/12</x:f>
        <x:v>2</x:v>
      </x:c>
      <x:c r="I12" s="93" t="n">
        <x:f>H12*'Assumptions'!$B$27</x:f>
        <x:v>1198</x:v>
      </x:c>
      <x:c r="J12" s="92" t="n">
        <x:f>'Assumptions'!$B$28*8/12</x:f>
        <x:v>0</x:v>
      </x:c>
      <x:c r="K12" s="93" t="n">
        <x:f>J12*'Assumptions'!$B$29</x:f>
        <x:v>0</x:v>
      </x:c>
      <x:c r="L12" s="94" t="n">
        <x:f>'Assumptions'!$B$31</x:f>
        <x:v>0</x:v>
      </x:c>
      <x:c r="M12" s="93" t="n">
        <x:f>SUM(E12,G12,I12,K12)*L12</x:f>
        <x:v>0</x:v>
      </x:c>
      <x:c r="N12" s="92" t="n">
        <x:f>SUM('Assumptions'!$B$22,'Assumptions'!$B$24,'Assumptions'!$B$26)/12</x:f>
        <x:v>2.5</x:v>
      </x:c>
      <x:c r="O12" s="93" t="n">
        <x:f>'Assumptions'!$B$32</x:f>
        <x:v>600</x:v>
      </x:c>
      <x:c r="P12" s="92" t="n">
        <x:f>'Assumptions'!$B$28/12</x:f>
        <x:v>0</x:v>
      </x:c>
      <x:c r="Q12" s="93" t="n">
        <x:f>'Assumptions'!$B$33</x:f>
        <x:v>3000</x:v>
      </x:c>
      <x:c r="R12" s="93" t="n">
        <x:f>N12*O12+P12*Q12</x:f>
        <x:v>1500</x:v>
      </x:c>
      <x:c r="S12" s="93" t="n">
        <x:f>SUM(E12,G12,I12,K12,M12,R12)</x:f>
        <x:v>5680</x:v>
      </x:c>
      <x:c r="T12" s="93" t="n">
        <x:f>SUM(E12,G12,I12,K12)*'Assumptions'!$B$34+M12*'Assumptions'!$B$35+R12*'Assumptions'!$B$36</x:f>
        <x:v>2513</x:v>
      </x:c>
      <x:c r="U12" s="93" t="n">
        <x:f>S12-T12</x:f>
        <x:v>3167</x:v>
      </x:c>
    </x:row>
    <x:row r="13">
      <x:c r="A13" s="90" t="n">
        <x:v>46508</x:v>
      </x:c>
      <x:c r="B13" s="91" t="n">
        <x:v>1</x:v>
      </x:c>
      <x:c r="C13" s="91" t="n">
        <x:v>9</x:v>
      </x:c>
      <x:c r="D13" s="92" t="n">
        <x:f>'Assumptions'!$B$22*9/12</x:f>
        <x:v>11.25</x:v>
      </x:c>
      <x:c r="E13" s="93" t="n">
        <x:f>D13*'Assumptions'!$B$23</x:f>
        <x:v>1113.75</x:v>
      </x:c>
      <x:c r="F13" s="92" t="n">
        <x:f>'Assumptions'!$B$24*9/12</x:f>
        <x:v>9</x:v>
      </x:c>
      <x:c r="G13" s="93" t="n">
        <x:f>F13*'Assumptions'!$B$25</x:f>
        <x:v>2241</x:v>
      </x:c>
      <x:c r="H13" s="92" t="n">
        <x:f>'Assumptions'!$B$26*9/12</x:f>
        <x:v>2.25</x:v>
      </x:c>
      <x:c r="I13" s="93" t="n">
        <x:f>H13*'Assumptions'!$B$27</x:f>
        <x:v>1347.75</x:v>
      </x:c>
      <x:c r="J13" s="92" t="n">
        <x:f>'Assumptions'!$B$28*9/12</x:f>
        <x:v>0</x:v>
      </x:c>
      <x:c r="K13" s="93" t="n">
        <x:f>J13*'Assumptions'!$B$29</x:f>
        <x:v>0</x:v>
      </x:c>
      <x:c r="L13" s="94" t="n">
        <x:f>'Assumptions'!$B$31</x:f>
        <x:v>0</x:v>
      </x:c>
      <x:c r="M13" s="93" t="n">
        <x:f>SUM(E13,G13,I13,K13)*L13</x:f>
        <x:v>0</x:v>
      </x:c>
      <x:c r="N13" s="92" t="n">
        <x:f>SUM('Assumptions'!$B$22,'Assumptions'!$B$24,'Assumptions'!$B$26)/12</x:f>
        <x:v>2.5</x:v>
      </x:c>
      <x:c r="O13" s="93" t="n">
        <x:f>'Assumptions'!$B$32</x:f>
        <x:v>600</x:v>
      </x:c>
      <x:c r="P13" s="92" t="n">
        <x:f>'Assumptions'!$B$28/12</x:f>
        <x:v>0</x:v>
      </x:c>
      <x:c r="Q13" s="93" t="n">
        <x:f>'Assumptions'!$B$33</x:f>
        <x:v>3000</x:v>
      </x:c>
      <x:c r="R13" s="93" t="n">
        <x:f>N13*O13+P13*Q13</x:f>
        <x:v>1500</x:v>
      </x:c>
      <x:c r="S13" s="93" t="n">
        <x:f>SUM(E13,G13,I13,K13,M13,R13)</x:f>
        <x:v>6202.5</x:v>
      </x:c>
      <x:c r="T13" s="93" t="n">
        <x:f>SUM(E13,G13,I13,K13)*'Assumptions'!$B$34+M13*'Assumptions'!$B$35+R13*'Assumptions'!$B$36</x:f>
        <x:v>2695.875</x:v>
      </x:c>
      <x:c r="U13" s="93" t="n">
        <x:f>S13-T13</x:f>
        <x:v>3506.625</x:v>
      </x:c>
    </x:row>
    <x:row r="14">
      <x:c r="A14" s="90" t="n">
        <x:v>46539</x:v>
      </x:c>
      <x:c r="B14" s="91" t="n">
        <x:v>1</x:v>
      </x:c>
      <x:c r="C14" s="91" t="n">
        <x:v>10</x:v>
      </x:c>
      <x:c r="D14" s="92" t="n">
        <x:f>'Assumptions'!$B$22*10/12</x:f>
        <x:v>12.5</x:v>
      </x:c>
      <x:c r="E14" s="93" t="n">
        <x:f>D14*'Assumptions'!$B$23</x:f>
        <x:v>1237.5</x:v>
      </x:c>
      <x:c r="F14" s="92" t="n">
        <x:f>'Assumptions'!$B$24*10/12</x:f>
        <x:v>10</x:v>
      </x:c>
      <x:c r="G14" s="93" t="n">
        <x:f>F14*'Assumptions'!$B$25</x:f>
        <x:v>2490</x:v>
      </x:c>
      <x:c r="H14" s="92" t="n">
        <x:f>'Assumptions'!$B$26*10/12</x:f>
        <x:v>2.5</x:v>
      </x:c>
      <x:c r="I14" s="93" t="n">
        <x:f>H14*'Assumptions'!$B$27</x:f>
        <x:v>1497.5</x:v>
      </x:c>
      <x:c r="J14" s="92" t="n">
        <x:f>'Assumptions'!$B$28*10/12</x:f>
        <x:v>0</x:v>
      </x:c>
      <x:c r="K14" s="93" t="n">
        <x:f>J14*'Assumptions'!$B$29</x:f>
        <x:v>0</x:v>
      </x:c>
      <x:c r="L14" s="94" t="n">
        <x:f>'Assumptions'!$B$31</x:f>
        <x:v>0</x:v>
      </x:c>
      <x:c r="M14" s="93" t="n">
        <x:f>SUM(E14,G14,I14,K14)*L14</x:f>
        <x:v>0</x:v>
      </x:c>
      <x:c r="N14" s="92" t="n">
        <x:f>SUM('Assumptions'!$B$22,'Assumptions'!$B$24,'Assumptions'!$B$26)/12</x:f>
        <x:v>2.5</x:v>
      </x:c>
      <x:c r="O14" s="93" t="n">
        <x:f>'Assumptions'!$B$32</x:f>
        <x:v>600</x:v>
      </x:c>
      <x:c r="P14" s="92" t="n">
        <x:f>'Assumptions'!$B$28/12</x:f>
        <x:v>0</x:v>
      </x:c>
      <x:c r="Q14" s="93" t="n">
        <x:f>'Assumptions'!$B$33</x:f>
        <x:v>3000</x:v>
      </x:c>
      <x:c r="R14" s="93" t="n">
        <x:f>N14*O14+P14*Q14</x:f>
        <x:v>1500</x:v>
      </x:c>
      <x:c r="S14" s="93" t="n">
        <x:f>SUM(E14,G14,I14,K14,M14,R14)</x:f>
        <x:v>6725</x:v>
      </x:c>
      <x:c r="T14" s="93" t="n">
        <x:f>SUM(E14,G14,I14,K14)*'Assumptions'!$B$34+M14*'Assumptions'!$B$35+R14*'Assumptions'!$B$36</x:f>
        <x:v>2878.75</x:v>
      </x:c>
      <x:c r="U14" s="93" t="n">
        <x:f>S14-T14</x:f>
        <x:v>3846.25</x:v>
      </x:c>
    </x:row>
    <x:row r="15">
      <x:c r="A15" s="90" t="n">
        <x:v>46569</x:v>
      </x:c>
      <x:c r="B15" s="91" t="n">
        <x:v>1</x:v>
      </x:c>
      <x:c r="C15" s="91" t="n">
        <x:v>11</x:v>
      </x:c>
      <x:c r="D15" s="92" t="n">
        <x:f>'Assumptions'!$B$22*11/12</x:f>
        <x:v>13.75</x:v>
      </x:c>
      <x:c r="E15" s="93" t="n">
        <x:f>D15*'Assumptions'!$B$23</x:f>
        <x:v>1361.25</x:v>
      </x:c>
      <x:c r="F15" s="92" t="n">
        <x:f>'Assumptions'!$B$24*11/12</x:f>
        <x:v>11</x:v>
      </x:c>
      <x:c r="G15" s="93" t="n">
        <x:f>F15*'Assumptions'!$B$25</x:f>
        <x:v>2739</x:v>
      </x:c>
      <x:c r="H15" s="92" t="n">
        <x:f>'Assumptions'!$B$26*11/12</x:f>
        <x:v>2.75</x:v>
      </x:c>
      <x:c r="I15" s="93" t="n">
        <x:f>H15*'Assumptions'!$B$27</x:f>
        <x:v>1647.25</x:v>
      </x:c>
      <x:c r="J15" s="92" t="n">
        <x:f>'Assumptions'!$B$28*11/12</x:f>
        <x:v>0</x:v>
      </x:c>
      <x:c r="K15" s="93" t="n">
        <x:f>J15*'Assumptions'!$B$29</x:f>
        <x:v>0</x:v>
      </x:c>
      <x:c r="L15" s="94" t="n">
        <x:f>'Assumptions'!$B$31</x:f>
        <x:v>0</x:v>
      </x:c>
      <x:c r="M15" s="93" t="n">
        <x:f>SUM(E15,G15,I15,K15)*L15</x:f>
        <x:v>0</x:v>
      </x:c>
      <x:c r="N15" s="92" t="n">
        <x:f>SUM('Assumptions'!$B$22,'Assumptions'!$B$24,'Assumptions'!$B$26)/12</x:f>
        <x:v>2.5</x:v>
      </x:c>
      <x:c r="O15" s="93" t="n">
        <x:f>'Assumptions'!$B$32</x:f>
        <x:v>600</x:v>
      </x:c>
      <x:c r="P15" s="92" t="n">
        <x:f>'Assumptions'!$B$28/12</x:f>
        <x:v>0</x:v>
      </x:c>
      <x:c r="Q15" s="93" t="n">
        <x:f>'Assumptions'!$B$33</x:f>
        <x:v>3000</x:v>
      </x:c>
      <x:c r="R15" s="93" t="n">
        <x:f>N15*O15+P15*Q15</x:f>
        <x:v>1500</x:v>
      </x:c>
      <x:c r="S15" s="93" t="n">
        <x:f>SUM(E15,G15,I15,K15,M15,R15)</x:f>
        <x:v>7247.5</x:v>
      </x:c>
      <x:c r="T15" s="93" t="n">
        <x:f>SUM(E15,G15,I15,K15)*'Assumptions'!$B$34+M15*'Assumptions'!$B$35+R15*'Assumptions'!$B$36</x:f>
        <x:v>3061.625</x:v>
      </x:c>
      <x:c r="U15" s="93" t="n">
        <x:f>S15-T15</x:f>
        <x:v>4185.875</x:v>
      </x:c>
    </x:row>
    <x:row r="16">
      <x:c r="A16" s="90" t="n">
        <x:v>46600</x:v>
      </x:c>
      <x:c r="B16" s="91" t="n">
        <x:v>1</x:v>
      </x:c>
      <x:c r="C16" s="91" t="n">
        <x:v>12</x:v>
      </x:c>
      <x:c r="D16" s="92" t="n">
        <x:f>'Assumptions'!$B$22*12/12</x:f>
        <x:v>15</x:v>
      </x:c>
      <x:c r="E16" s="93" t="n">
        <x:f>D16*'Assumptions'!$B$23</x:f>
        <x:v>1485</x:v>
      </x:c>
      <x:c r="F16" s="92" t="n">
        <x:f>'Assumptions'!$B$24*12/12</x:f>
        <x:v>12</x:v>
      </x:c>
      <x:c r="G16" s="93" t="n">
        <x:f>F16*'Assumptions'!$B$25</x:f>
        <x:v>2988</x:v>
      </x:c>
      <x:c r="H16" s="92" t="n">
        <x:f>'Assumptions'!$B$26*12/12</x:f>
        <x:v>3</x:v>
      </x:c>
      <x:c r="I16" s="93" t="n">
        <x:f>H16*'Assumptions'!$B$27</x:f>
        <x:v>1797</x:v>
      </x:c>
      <x:c r="J16" s="92" t="n">
        <x:f>'Assumptions'!$B$28*12/12</x:f>
        <x:v>0</x:v>
      </x:c>
      <x:c r="K16" s="93" t="n">
        <x:f>J16*'Assumptions'!$B$29</x:f>
        <x:v>0</x:v>
      </x:c>
      <x:c r="L16" s="94" t="n">
        <x:f>'Assumptions'!$B$31</x:f>
        <x:v>0</x:v>
      </x:c>
      <x:c r="M16" s="93" t="n">
        <x:f>SUM(E16,G16,I16,K16)*L16</x:f>
        <x:v>0</x:v>
      </x:c>
      <x:c r="N16" s="92" t="n">
        <x:f>SUM('Assumptions'!$B$22,'Assumptions'!$B$24,'Assumptions'!$B$26)/12</x:f>
        <x:v>2.5</x:v>
      </x:c>
      <x:c r="O16" s="93" t="n">
        <x:f>'Assumptions'!$B$32</x:f>
        <x:v>600</x:v>
      </x:c>
      <x:c r="P16" s="92" t="n">
        <x:f>'Assumptions'!$B$28/12</x:f>
        <x:v>0</x:v>
      </x:c>
      <x:c r="Q16" s="93" t="n">
        <x:f>'Assumptions'!$B$33</x:f>
        <x:v>3000</x:v>
      </x:c>
      <x:c r="R16" s="93" t="n">
        <x:f>N16*O16+P16*Q16</x:f>
        <x:v>1500</x:v>
      </x:c>
      <x:c r="S16" s="93" t="n">
        <x:f>SUM(E16,G16,I16,K16,M16,R16)</x:f>
        <x:v>7770</x:v>
      </x:c>
      <x:c r="T16" s="93" t="n">
        <x:f>SUM(E16,G16,I16,K16)*'Assumptions'!$B$34+M16*'Assumptions'!$B$35+R16*'Assumptions'!$B$36</x:f>
        <x:v>3244.5</x:v>
      </x:c>
      <x:c r="U16" s="93" t="n">
        <x:f>S16-T16</x:f>
        <x:v>4525.5</x:v>
      </x:c>
    </x:row>
    <x:row r="17">
      <x:c r="A17" s="90" t="n">
        <x:v>46631</x:v>
      </x:c>
      <x:c r="B17" s="91" t="n">
        <x:v>2</x:v>
      </x:c>
      <x:c r="C17" s="91" t="n">
        <x:v>1</x:v>
      </x:c>
      <x:c r="D17" s="92" t="n">
        <x:f>'Assumptions'!$B$22*'Assumptions'!$C$30+'Assumptions'!$C$22*1/12</x:f>
        <x:v>15.166666666666666</x:v>
      </x:c>
      <x:c r="E17" s="93" t="n">
        <x:f>D17*'Assumptions'!$C$23</x:f>
        <x:v>1501.5</x:v>
      </x:c>
      <x:c r="F17" s="92" t="n">
        <x:f>'Assumptions'!$B$24*'Assumptions'!$C$30+'Assumptions'!$C$24*1/12</x:f>
        <x:v>12.883333333333335</x:v>
      </x:c>
      <x:c r="G17" s="93" t="n">
        <x:f>F17*'Assumptions'!$C$25</x:f>
        <x:v>3207.9500000000003</x:v>
      </x:c>
      <x:c r="H17" s="92" t="n">
        <x:f>'Assumptions'!$B$26*'Assumptions'!$C$30+'Assumptions'!$C$26*1/12</x:f>
        <x:v>3.1166666666666667</x:v>
      </x:c>
      <x:c r="I17" s="93" t="n">
        <x:f>H17*'Assumptions'!$C$27</x:f>
        <x:v>1866.8833333333334</x:v>
      </x:c>
      <x:c r="J17" s="92" t="n">
        <x:f>'Assumptions'!$B$28*'Assumptions'!$C$30+'Assumptions'!$C$28*1/12</x:f>
        <x:v>0.08333333333333333</x:v>
      </x:c>
      <x:c r="K17" s="93" t="n">
        <x:f>J17*'Assumptions'!$C$29</x:f>
        <x:v>83.33333333333333</x:v>
      </x:c>
      <x:c r="L17" s="94" t="n">
        <x:f>'Assumptions'!$C$31</x:f>
        <x:v>0</x:v>
      </x:c>
      <x:c r="M17" s="93" t="n">
        <x:f>SUM(E17,G17,I17,K17)*L17</x:f>
        <x:v>0</x:v>
      </x:c>
      <x:c r="N17" s="92" t="n">
        <x:f>SUM('Assumptions'!$C$22,'Assumptions'!$C$24,'Assumptions'!$C$26)/12</x:f>
        <x:v>4.166666666666667</x:v>
      </x:c>
      <x:c r="O17" s="93" t="n">
        <x:f>'Assumptions'!$C$32</x:f>
        <x:v>500</x:v>
      </x:c>
      <x:c r="P17" s="92" t="n">
        <x:f>'Assumptions'!$C$28/12</x:f>
        <x:v>0.08333333333333333</x:v>
      </x:c>
      <x:c r="Q17" s="93" t="n">
        <x:f>'Assumptions'!$C$33</x:f>
        <x:v>4000</x:v>
      </x:c>
      <x:c r="R17" s="93" t="n">
        <x:f>N17*O17+P17*Q17</x:f>
        <x:v>2416.666666666667</x:v>
      </x:c>
      <x:c r="S17" s="93" t="n">
        <x:f>SUM(E17,G17,I17,K17,M17,R17)</x:f>
        <x:v>9076.333333333334</x:v>
      </x:c>
      <x:c r="T17" s="93" t="n">
        <x:f>SUM(E17,G17,I17,K17)*'Assumptions'!$C$34+M17*'Assumptions'!$C$35+R17*'Assumptions'!$C$36</x:f>
        <x:v>3822.76</x:v>
      </x:c>
      <x:c r="U17" s="93" t="n">
        <x:f>S17-T17</x:f>
        <x:v>5253.573333333334</x:v>
      </x:c>
    </x:row>
    <x:row r="18">
      <x:c r="A18" s="90" t="n">
        <x:v>46661</x:v>
      </x:c>
      <x:c r="B18" s="91" t="n">
        <x:v>2</x:v>
      </x:c>
      <x:c r="C18" s="91" t="n">
        <x:v>2</x:v>
      </x:c>
      <x:c r="D18" s="92" t="n">
        <x:f>'Assumptions'!$B$22*'Assumptions'!$C$30+'Assumptions'!$C$22*2/12</x:f>
        <x:v>16.833333333333332</x:v>
      </x:c>
      <x:c r="E18" s="93" t="n">
        <x:f>D18*'Assumptions'!$C$23</x:f>
        <x:v>1666.4999999999998</x:v>
      </x:c>
      <x:c r="F18" s="92" t="n">
        <x:f>'Assumptions'!$B$24*'Assumptions'!$C$30+'Assumptions'!$C$24*2/12</x:f>
        <x:v>14.966666666666669</x:v>
      </x:c>
      <x:c r="G18" s="93" t="n">
        <x:f>F18*'Assumptions'!$C$25</x:f>
        <x:v>3726.7000000000003</x:v>
      </x:c>
      <x:c r="H18" s="92" t="n">
        <x:f>'Assumptions'!$B$26*'Assumptions'!$C$30+'Assumptions'!$C$26*2/12</x:f>
        <x:v>3.5333333333333337</x:v>
      </x:c>
      <x:c r="I18" s="93" t="n">
        <x:f>H18*'Assumptions'!$C$27</x:f>
        <x:v>2116.4666666666667</x:v>
      </x:c>
      <x:c r="J18" s="92" t="n">
        <x:f>'Assumptions'!$B$28*'Assumptions'!$C$30+'Assumptions'!$C$28*2/12</x:f>
        <x:v>0.16666666666666666</x:v>
      </x:c>
      <x:c r="K18" s="93" t="n">
        <x:f>J18*'Assumptions'!$C$29</x:f>
        <x:v>166.66666666666666</x:v>
      </x:c>
      <x:c r="L18" s="94" t="n">
        <x:f>'Assumptions'!$C$31</x:f>
        <x:v>0</x:v>
      </x:c>
      <x:c r="M18" s="93" t="n">
        <x:f>SUM(E18,G18,I18,K18)*L18</x:f>
        <x:v>0</x:v>
      </x:c>
      <x:c r="N18" s="92" t="n">
        <x:f>SUM('Assumptions'!$C$22,'Assumptions'!$C$24,'Assumptions'!$C$26)/12</x:f>
        <x:v>4.166666666666667</x:v>
      </x:c>
      <x:c r="O18" s="93" t="n">
        <x:f>'Assumptions'!$C$32</x:f>
        <x:v>500</x:v>
      </x:c>
      <x:c r="P18" s="92" t="n">
        <x:f>'Assumptions'!$C$28/12</x:f>
        <x:v>0.08333333333333333</x:v>
      </x:c>
      <x:c r="Q18" s="93" t="n">
        <x:f>'Assumptions'!$C$33</x:f>
        <x:v>4000</x:v>
      </x:c>
      <x:c r="R18" s="93" t="n">
        <x:f>N18*O18+P18*Q18</x:f>
        <x:v>2416.666666666667</x:v>
      </x:c>
      <x:c r="S18" s="93" t="n">
        <x:f>SUM(E18,G18,I18,K18,M18,R18)</x:f>
        <x:v>10093</x:v>
      </x:c>
      <x:c r="T18" s="93" t="n">
        <x:f>SUM(E18,G18,I18,K18)*'Assumptions'!$C$34+M18*'Assumptions'!$C$35+R18*'Assumptions'!$C$36</x:f>
        <x:v>4148.093333333333</x:v>
      </x:c>
      <x:c r="U18" s="93" t="n">
        <x:f>S18-T18</x:f>
        <x:v>5944.906666666667</x:v>
      </x:c>
    </x:row>
    <x:row r="19">
      <x:c r="A19" s="90" t="n">
        <x:v>46692</x:v>
      </x:c>
      <x:c r="B19" s="91" t="n">
        <x:v>2</x:v>
      </x:c>
      <x:c r="C19" s="91" t="n">
        <x:v>3</x:v>
      </x:c>
      <x:c r="D19" s="92" t="n">
        <x:f>'Assumptions'!$B$22*'Assumptions'!$C$30+'Assumptions'!$C$22*3/12</x:f>
        <x:v>18.5</x:v>
      </x:c>
      <x:c r="E19" s="93" t="n">
        <x:f>D19*'Assumptions'!$C$23</x:f>
        <x:v>1831.5</x:v>
      </x:c>
      <x:c r="F19" s="92" t="n">
        <x:f>'Assumptions'!$B$24*'Assumptions'!$C$30+'Assumptions'!$C$24*3/12</x:f>
        <x:v>17.05</x:v>
      </x:c>
      <x:c r="G19" s="93" t="n">
        <x:f>F19*'Assumptions'!$C$25</x:f>
        <x:v>4245.45</x:v>
      </x:c>
      <x:c r="H19" s="92" t="n">
        <x:f>'Assumptions'!$B$26*'Assumptions'!$C$30+'Assumptions'!$C$26*3/12</x:f>
        <x:v>3.95</x:v>
      </x:c>
      <x:c r="I19" s="93" t="n">
        <x:f>H19*'Assumptions'!$C$27</x:f>
        <x:v>2366.05</x:v>
      </x:c>
      <x:c r="J19" s="92" t="n">
        <x:f>'Assumptions'!$B$28*'Assumptions'!$C$30+'Assumptions'!$C$28*3/12</x:f>
        <x:v>0.25</x:v>
      </x:c>
      <x:c r="K19" s="93" t="n">
        <x:f>J19*'Assumptions'!$C$29</x:f>
        <x:v>250</x:v>
      </x:c>
      <x:c r="L19" s="94" t="n">
        <x:f>'Assumptions'!$C$31</x:f>
        <x:v>0</x:v>
      </x:c>
      <x:c r="M19" s="93" t="n">
        <x:f>SUM(E19,G19,I19,K19)*L19</x:f>
        <x:v>0</x:v>
      </x:c>
      <x:c r="N19" s="92" t="n">
        <x:f>SUM('Assumptions'!$C$22,'Assumptions'!$C$24,'Assumptions'!$C$26)/12</x:f>
        <x:v>4.166666666666667</x:v>
      </x:c>
      <x:c r="O19" s="93" t="n">
        <x:f>'Assumptions'!$C$32</x:f>
        <x:v>500</x:v>
      </x:c>
      <x:c r="P19" s="92" t="n">
        <x:f>'Assumptions'!$C$28/12</x:f>
        <x:v>0.08333333333333333</x:v>
      </x:c>
      <x:c r="Q19" s="93" t="n">
        <x:f>'Assumptions'!$C$33</x:f>
        <x:v>4000</x:v>
      </x:c>
      <x:c r="R19" s="93" t="n">
        <x:f>N19*O19+P19*Q19</x:f>
        <x:v>2416.666666666667</x:v>
      </x:c>
      <x:c r="S19" s="93" t="n">
        <x:f>SUM(E19,G19,I19,K19,M19,R19)</x:f>
        <x:v>11109.666666666668</x:v>
      </x:c>
      <x:c r="T19" s="93" t="n">
        <x:f>SUM(E19,G19,I19,K19)*'Assumptions'!$C$34+M19*'Assumptions'!$C$35+R19*'Assumptions'!$C$36</x:f>
        <x:v>4473.426666666667</x:v>
      </x:c>
      <x:c r="U19" s="93" t="n">
        <x:f>S19-T19</x:f>
        <x:v>6636.240000000001</x:v>
      </x:c>
    </x:row>
    <x:row r="20">
      <x:c r="A20" s="90" t="n">
        <x:v>46722</x:v>
      </x:c>
      <x:c r="B20" s="91" t="n">
        <x:v>2</x:v>
      </x:c>
      <x:c r="C20" s="91" t="n">
        <x:v>4</x:v>
      </x:c>
      <x:c r="D20" s="92" t="n">
        <x:f>'Assumptions'!$B$22*'Assumptions'!$C$30+'Assumptions'!$C$22*4/12</x:f>
        <x:v>20.166666666666668</x:v>
      </x:c>
      <x:c r="E20" s="93" t="n">
        <x:f>D20*'Assumptions'!$C$23</x:f>
        <x:v>1996.5000000000002</x:v>
      </x:c>
      <x:c r="F20" s="92" t="n">
        <x:f>'Assumptions'!$B$24*'Assumptions'!$C$30+'Assumptions'!$C$24*4/12</x:f>
        <x:v>19.133333333333333</x:v>
      </x:c>
      <x:c r="G20" s="93" t="n">
        <x:f>F20*'Assumptions'!$C$25</x:f>
        <x:v>4764.2</x:v>
      </x:c>
      <x:c r="H20" s="92" t="n">
        <x:f>'Assumptions'!$B$26*'Assumptions'!$C$30+'Assumptions'!$C$26*4/12</x:f>
        <x:v>4.366666666666667</x:v>
      </x:c>
      <x:c r="I20" s="93" t="n">
        <x:f>H20*'Assumptions'!$C$27</x:f>
        <x:v>2615.6333333333337</x:v>
      </x:c>
      <x:c r="J20" s="92" t="n">
        <x:f>'Assumptions'!$B$28*'Assumptions'!$C$30+'Assumptions'!$C$28*4/12</x:f>
        <x:v>0.3333333333333333</x:v>
      </x:c>
      <x:c r="K20" s="93" t="n">
        <x:f>J20*'Assumptions'!$C$29</x:f>
        <x:v>333.3333333333333</x:v>
      </x:c>
      <x:c r="L20" s="94" t="n">
        <x:f>'Assumptions'!$C$31</x:f>
        <x:v>0</x:v>
      </x:c>
      <x:c r="M20" s="93" t="n">
        <x:f>SUM(E20,G20,I20,K20)*L20</x:f>
        <x:v>0</x:v>
      </x:c>
      <x:c r="N20" s="92" t="n">
        <x:f>SUM('Assumptions'!$C$22,'Assumptions'!$C$24,'Assumptions'!$C$26)/12</x:f>
        <x:v>4.166666666666667</x:v>
      </x:c>
      <x:c r="O20" s="93" t="n">
        <x:f>'Assumptions'!$C$32</x:f>
        <x:v>500</x:v>
      </x:c>
      <x:c r="P20" s="92" t="n">
        <x:f>'Assumptions'!$C$28/12</x:f>
        <x:v>0.08333333333333333</x:v>
      </x:c>
      <x:c r="Q20" s="93" t="n">
        <x:f>'Assumptions'!$C$33</x:f>
        <x:v>4000</x:v>
      </x:c>
      <x:c r="R20" s="93" t="n">
        <x:f>N20*O20+P20*Q20</x:f>
        <x:v>2416.666666666667</x:v>
      </x:c>
      <x:c r="S20" s="93" t="n">
        <x:f>SUM(E20,G20,I20,K20,M20,R20)</x:f>
        <x:v>12126.333333333336</x:v>
      </x:c>
      <x:c r="T20" s="93" t="n">
        <x:f>SUM(E20,G20,I20,K20)*'Assumptions'!$C$34+M20*'Assumptions'!$C$35+R20*'Assumptions'!$C$36</x:f>
        <x:v>4798.76</x:v>
      </x:c>
      <x:c r="U20" s="93" t="n">
        <x:f>S20-T20</x:f>
        <x:v>7327.5733333333355</x:v>
      </x:c>
    </x:row>
    <x:row r="21">
      <x:c r="A21" s="90" t="n">
        <x:v>46753</x:v>
      </x:c>
      <x:c r="B21" s="91" t="n">
        <x:v>2</x:v>
      </x:c>
      <x:c r="C21" s="91" t="n">
        <x:v>5</x:v>
      </x:c>
      <x:c r="D21" s="92" t="n">
        <x:f>'Assumptions'!$B$22*'Assumptions'!$C$30+'Assumptions'!$C$22*5/12</x:f>
        <x:v>21.833333333333336</x:v>
      </x:c>
      <x:c r="E21" s="93" t="n">
        <x:f>D21*'Assumptions'!$C$23</x:f>
        <x:v>2161.5000000000005</x:v>
      </x:c>
      <x:c r="F21" s="92" t="n">
        <x:f>'Assumptions'!$B$24*'Assumptions'!$C$30+'Assumptions'!$C$24*5/12</x:f>
        <x:v>21.21666666666667</x:v>
      </x:c>
      <x:c r="G21" s="93" t="n">
        <x:f>F21*'Assumptions'!$C$25</x:f>
        <x:v>5282.950000000001</x:v>
      </x:c>
      <x:c r="H21" s="92" t="n">
        <x:f>'Assumptions'!$B$26*'Assumptions'!$C$30+'Assumptions'!$C$26*5/12</x:f>
        <x:v>4.783333333333333</x:v>
      </x:c>
      <x:c r="I21" s="93" t="n">
        <x:f>H21*'Assumptions'!$C$27</x:f>
        <x:v>2865.2166666666667</x:v>
      </x:c>
      <x:c r="J21" s="92" t="n">
        <x:f>'Assumptions'!$B$28*'Assumptions'!$C$30+'Assumptions'!$C$28*5/12</x:f>
        <x:v>0.4166666666666667</x:v>
      </x:c>
      <x:c r="K21" s="93" t="n">
        <x:f>J21*'Assumptions'!$C$29</x:f>
        <x:v>416.6666666666667</x:v>
      </x:c>
      <x:c r="L21" s="94" t="n">
        <x:f>'Assumptions'!$C$31</x:f>
        <x:v>0</x:v>
      </x:c>
      <x:c r="M21" s="93" t="n">
        <x:f>SUM(E21,G21,I21,K21)*L21</x:f>
        <x:v>0</x:v>
      </x:c>
      <x:c r="N21" s="92" t="n">
        <x:f>SUM('Assumptions'!$C$22,'Assumptions'!$C$24,'Assumptions'!$C$26)/12</x:f>
        <x:v>4.166666666666667</x:v>
      </x:c>
      <x:c r="O21" s="93" t="n">
        <x:f>'Assumptions'!$C$32</x:f>
        <x:v>500</x:v>
      </x:c>
      <x:c r="P21" s="92" t="n">
        <x:f>'Assumptions'!$C$28/12</x:f>
        <x:v>0.08333333333333333</x:v>
      </x:c>
      <x:c r="Q21" s="93" t="n">
        <x:f>'Assumptions'!$C$33</x:f>
        <x:v>4000</x:v>
      </x:c>
      <x:c r="R21" s="93" t="n">
        <x:f>N21*O21+P21*Q21</x:f>
        <x:v>2416.666666666667</x:v>
      </x:c>
      <x:c r="S21" s="93" t="n">
        <x:f>SUM(E21,G21,I21,K21,M21,R21)</x:f>
        <x:v>13143</x:v>
      </x:c>
      <x:c r="T21" s="93" t="n">
        <x:f>SUM(E21,G21,I21,K21)*'Assumptions'!$C$34+M21*'Assumptions'!$C$35+R21*'Assumptions'!$C$36</x:f>
        <x:v>5124.093333333333</x:v>
      </x:c>
      <x:c r="U21" s="93" t="n">
        <x:f>S21-T21</x:f>
        <x:v>8018.906666666667</x:v>
      </x:c>
    </x:row>
    <x:row r="22">
      <x:c r="A22" s="90" t="n">
        <x:v>46784</x:v>
      </x:c>
      <x:c r="B22" s="91" t="n">
        <x:v>2</x:v>
      </x:c>
      <x:c r="C22" s="91" t="n">
        <x:v>6</x:v>
      </x:c>
      <x:c r="D22" s="92" t="n">
        <x:f>'Assumptions'!$B$22*'Assumptions'!$C$30+'Assumptions'!$C$22*6/12</x:f>
        <x:v>23.5</x:v>
      </x:c>
      <x:c r="E22" s="93" t="n">
        <x:f>D22*'Assumptions'!$C$23</x:f>
        <x:v>2326.5</x:v>
      </x:c>
      <x:c r="F22" s="92" t="n">
        <x:f>'Assumptions'!$B$24*'Assumptions'!$C$30+'Assumptions'!$C$24*6/12</x:f>
        <x:v>23.3</x:v>
      </x:c>
      <x:c r="G22" s="93" t="n">
        <x:f>F22*'Assumptions'!$C$25</x:f>
        <x:v>5801.7</x:v>
      </x:c>
      <x:c r="H22" s="92" t="n">
        <x:f>'Assumptions'!$B$26*'Assumptions'!$C$30+'Assumptions'!$C$26*6/12</x:f>
        <x:v>5.2</x:v>
      </x:c>
      <x:c r="I22" s="93" t="n">
        <x:f>H22*'Assumptions'!$C$27</x:f>
        <x:v>3114.8</x:v>
      </x:c>
      <x:c r="J22" s="92" t="n">
        <x:f>'Assumptions'!$B$28*'Assumptions'!$C$30+'Assumptions'!$C$28*6/12</x:f>
        <x:v>0.5</x:v>
      </x:c>
      <x:c r="K22" s="93" t="n">
        <x:f>J22*'Assumptions'!$C$29</x:f>
        <x:v>500</x:v>
      </x:c>
      <x:c r="L22" s="94" t="n">
        <x:f>'Assumptions'!$C$31</x:f>
        <x:v>0</x:v>
      </x:c>
      <x:c r="M22" s="93" t="n">
        <x:f>SUM(E22,G22,I22,K22)*L22</x:f>
        <x:v>0</x:v>
      </x:c>
      <x:c r="N22" s="92" t="n">
        <x:f>SUM('Assumptions'!$C$22,'Assumptions'!$C$24,'Assumptions'!$C$26)/12</x:f>
        <x:v>4.166666666666667</x:v>
      </x:c>
      <x:c r="O22" s="93" t="n">
        <x:f>'Assumptions'!$C$32</x:f>
        <x:v>500</x:v>
      </x:c>
      <x:c r="P22" s="92" t="n">
        <x:f>'Assumptions'!$C$28/12</x:f>
        <x:v>0.08333333333333333</x:v>
      </x:c>
      <x:c r="Q22" s="93" t="n">
        <x:f>'Assumptions'!$C$33</x:f>
        <x:v>4000</x:v>
      </x:c>
      <x:c r="R22" s="93" t="n">
        <x:f>N22*O22+P22*Q22</x:f>
        <x:v>2416.666666666667</x:v>
      </x:c>
      <x:c r="S22" s="93" t="n">
        <x:f>SUM(E22,G22,I22,K22,M22,R22)</x:f>
        <x:v>14159.666666666668</x:v>
      </x:c>
      <x:c r="T22" s="93" t="n">
        <x:f>SUM(E22,G22,I22,K22)*'Assumptions'!$C$34+M22*'Assumptions'!$C$35+R22*'Assumptions'!$C$36</x:f>
        <x:v>5449.426666666667</x:v>
      </x:c>
      <x:c r="U22" s="93" t="n">
        <x:f>S22-T22</x:f>
        <x:v>8710.240000000002</x:v>
      </x:c>
    </x:row>
    <x:row r="23">
      <x:c r="A23" s="90" t="n">
        <x:v>46813</x:v>
      </x:c>
      <x:c r="B23" s="91" t="n">
        <x:v>2</x:v>
      </x:c>
      <x:c r="C23" s="91" t="n">
        <x:v>7</x:v>
      </x:c>
      <x:c r="D23" s="92" t="n">
        <x:f>'Assumptions'!$B$22*'Assumptions'!$C$30+'Assumptions'!$C$22*7/12</x:f>
        <x:v>25.166666666666664</x:v>
      </x:c>
      <x:c r="E23" s="93" t="n">
        <x:f>D23*'Assumptions'!$C$23</x:f>
        <x:v>2491.4999999999995</x:v>
      </x:c>
      <x:c r="F23" s="92" t="n">
        <x:f>'Assumptions'!$B$24*'Assumptions'!$C$30+'Assumptions'!$C$24*7/12</x:f>
        <x:v>25.383333333333333</x:v>
      </x:c>
      <x:c r="G23" s="93" t="n">
        <x:f>F23*'Assumptions'!$C$25</x:f>
        <x:v>6320.45</x:v>
      </x:c>
      <x:c r="H23" s="92" t="n">
        <x:f>'Assumptions'!$B$26*'Assumptions'!$C$30+'Assumptions'!$C$26*7/12</x:f>
        <x:v>5.616666666666667</x:v>
      </x:c>
      <x:c r="I23" s="93" t="n">
        <x:f>H23*'Assumptions'!$C$27</x:f>
        <x:v>3364.3833333333337</x:v>
      </x:c>
      <x:c r="J23" s="92" t="n">
        <x:f>'Assumptions'!$B$28*'Assumptions'!$C$30+'Assumptions'!$C$28*7/12</x:f>
        <x:v>0.5833333333333334</x:v>
      </x:c>
      <x:c r="K23" s="93" t="n">
        <x:f>J23*'Assumptions'!$C$29</x:f>
        <x:v>583.3333333333334</x:v>
      </x:c>
      <x:c r="L23" s="94" t="n">
        <x:f>'Assumptions'!$C$31</x:f>
        <x:v>0</x:v>
      </x:c>
      <x:c r="M23" s="93" t="n">
        <x:f>SUM(E23,G23,I23,K23)*L23</x:f>
        <x:v>0</x:v>
      </x:c>
      <x:c r="N23" s="92" t="n">
        <x:f>SUM('Assumptions'!$C$22,'Assumptions'!$C$24,'Assumptions'!$C$26)/12</x:f>
        <x:v>4.166666666666667</x:v>
      </x:c>
      <x:c r="O23" s="93" t="n">
        <x:f>'Assumptions'!$C$32</x:f>
        <x:v>500</x:v>
      </x:c>
      <x:c r="P23" s="92" t="n">
        <x:f>'Assumptions'!$C$28/12</x:f>
        <x:v>0.08333333333333333</x:v>
      </x:c>
      <x:c r="Q23" s="93" t="n">
        <x:f>'Assumptions'!$C$33</x:f>
        <x:v>4000</x:v>
      </x:c>
      <x:c r="R23" s="93" t="n">
        <x:f>N23*O23+P23*Q23</x:f>
        <x:v>2416.666666666667</x:v>
      </x:c>
      <x:c r="S23" s="93" t="n">
        <x:f>SUM(E23,G23,I23,K23,M23,R23)</x:f>
        <x:v>15176.333333333332</x:v>
      </x:c>
      <x:c r="T23" s="93" t="n">
        <x:f>SUM(E23,G23,I23,K23)*'Assumptions'!$C$34+M23*'Assumptions'!$C$35+R23*'Assumptions'!$C$36</x:f>
        <x:v>5774.76</x:v>
      </x:c>
      <x:c r="U23" s="93" t="n">
        <x:f>S23-T23</x:f>
        <x:v>9401.573333333332</x:v>
      </x:c>
    </x:row>
    <x:row r="24">
      <x:c r="A24" s="90" t="n">
        <x:v>46844</x:v>
      </x:c>
      <x:c r="B24" s="91" t="n">
        <x:v>2</x:v>
      </x:c>
      <x:c r="C24" s="91" t="n">
        <x:v>8</x:v>
      </x:c>
      <x:c r="D24" s="92" t="n">
        <x:f>'Assumptions'!$B$22*'Assumptions'!$C$30+'Assumptions'!$C$22*8/12</x:f>
        <x:v>26.833333333333336</x:v>
      </x:c>
      <x:c r="E24" s="93" t="n">
        <x:f>D24*'Assumptions'!$C$23</x:f>
        <x:v>2656.5000000000005</x:v>
      </x:c>
      <x:c r="F24" s="92" t="n">
        <x:f>'Assumptions'!$B$24*'Assumptions'!$C$30+'Assumptions'!$C$24*8/12</x:f>
        <x:v>27.46666666666667</x:v>
      </x:c>
      <x:c r="G24" s="93" t="n">
        <x:f>F24*'Assumptions'!$C$25</x:f>
        <x:v>6839.200000000001</x:v>
      </x:c>
      <x:c r="H24" s="92" t="n">
        <x:f>'Assumptions'!$B$26*'Assumptions'!$C$30+'Assumptions'!$C$26*8/12</x:f>
        <x:v>6.033333333333333</x:v>
      </x:c>
      <x:c r="I24" s="93" t="n">
        <x:f>H24*'Assumptions'!$C$27</x:f>
        <x:v>3613.9666666666667</x:v>
      </x:c>
      <x:c r="J24" s="92" t="n">
        <x:f>'Assumptions'!$B$28*'Assumptions'!$C$30+'Assumptions'!$C$28*8/12</x:f>
        <x:v>0.6666666666666666</x:v>
      </x:c>
      <x:c r="K24" s="93" t="n">
        <x:f>J24*'Assumptions'!$C$29</x:f>
        <x:v>666.6666666666666</x:v>
      </x:c>
      <x:c r="L24" s="94" t="n">
        <x:f>'Assumptions'!$C$31</x:f>
        <x:v>0</x:v>
      </x:c>
      <x:c r="M24" s="93" t="n">
        <x:f>SUM(E24,G24,I24,K24)*L24</x:f>
        <x:v>0</x:v>
      </x:c>
      <x:c r="N24" s="92" t="n">
        <x:f>SUM('Assumptions'!$C$22,'Assumptions'!$C$24,'Assumptions'!$C$26)/12</x:f>
        <x:v>4.166666666666667</x:v>
      </x:c>
      <x:c r="O24" s="93" t="n">
        <x:f>'Assumptions'!$C$32</x:f>
        <x:v>500</x:v>
      </x:c>
      <x:c r="P24" s="92" t="n">
        <x:f>'Assumptions'!$C$28/12</x:f>
        <x:v>0.08333333333333333</x:v>
      </x:c>
      <x:c r="Q24" s="93" t="n">
        <x:f>'Assumptions'!$C$33</x:f>
        <x:v>4000</x:v>
      </x:c>
      <x:c r="R24" s="93" t="n">
        <x:f>N24*O24+P24*Q24</x:f>
        <x:v>2416.666666666667</x:v>
      </x:c>
      <x:c r="S24" s="93" t="n">
        <x:f>SUM(E24,G24,I24,K24,M24,R24)</x:f>
        <x:v>16193</x:v>
      </x:c>
      <x:c r="T24" s="93" t="n">
        <x:f>SUM(E24,G24,I24,K24)*'Assumptions'!$C$34+M24*'Assumptions'!$C$35+R24*'Assumptions'!$C$36</x:f>
        <x:v>6100.093333333334</x:v>
      </x:c>
      <x:c r="U24" s="93" t="n">
        <x:f>S24-T24</x:f>
        <x:v>10092.906666666666</x:v>
      </x:c>
    </x:row>
    <x:row r="25">
      <x:c r="A25" s="90" t="n">
        <x:v>46874</x:v>
      </x:c>
      <x:c r="B25" s="91" t="n">
        <x:v>2</x:v>
      </x:c>
      <x:c r="C25" s="91" t="n">
        <x:v>9</x:v>
      </x:c>
      <x:c r="D25" s="92" t="n">
        <x:f>'Assumptions'!$B$22*'Assumptions'!$C$30+'Assumptions'!$C$22*9/12</x:f>
        <x:v>28.5</x:v>
      </x:c>
      <x:c r="E25" s="93" t="n">
        <x:f>D25*'Assumptions'!$C$23</x:f>
        <x:v>2821.5</x:v>
      </x:c>
      <x:c r="F25" s="92" t="n">
        <x:f>'Assumptions'!$B$24*'Assumptions'!$C$30+'Assumptions'!$C$24*9/12</x:f>
        <x:v>29.55</x:v>
      </x:c>
      <x:c r="G25" s="93" t="n">
        <x:f>F25*'Assumptions'!$C$25</x:f>
        <x:v>7357.95</x:v>
      </x:c>
      <x:c r="H25" s="92" t="n">
        <x:f>'Assumptions'!$B$26*'Assumptions'!$C$30+'Assumptions'!$C$26*9/12</x:f>
        <x:v>6.45</x:v>
      </x:c>
      <x:c r="I25" s="93" t="n">
        <x:f>H25*'Assumptions'!$C$27</x:f>
        <x:v>3863.55</x:v>
      </x:c>
      <x:c r="J25" s="92" t="n">
        <x:f>'Assumptions'!$B$28*'Assumptions'!$C$30+'Assumptions'!$C$28*9/12</x:f>
        <x:v>0.75</x:v>
      </x:c>
      <x:c r="K25" s="93" t="n">
        <x:f>J25*'Assumptions'!$C$29</x:f>
        <x:v>750</x:v>
      </x:c>
      <x:c r="L25" s="94" t="n">
        <x:f>'Assumptions'!$C$31</x:f>
        <x:v>0</x:v>
      </x:c>
      <x:c r="M25" s="93" t="n">
        <x:f>SUM(E25,G25,I25,K25)*L25</x:f>
        <x:v>0</x:v>
      </x:c>
      <x:c r="N25" s="92" t="n">
        <x:f>SUM('Assumptions'!$C$22,'Assumptions'!$C$24,'Assumptions'!$C$26)/12</x:f>
        <x:v>4.166666666666667</x:v>
      </x:c>
      <x:c r="O25" s="93" t="n">
        <x:f>'Assumptions'!$C$32</x:f>
        <x:v>500</x:v>
      </x:c>
      <x:c r="P25" s="92" t="n">
        <x:f>'Assumptions'!$C$28/12</x:f>
        <x:v>0.08333333333333333</x:v>
      </x:c>
      <x:c r="Q25" s="93" t="n">
        <x:f>'Assumptions'!$C$33</x:f>
        <x:v>4000</x:v>
      </x:c>
      <x:c r="R25" s="93" t="n">
        <x:f>N25*O25+P25*Q25</x:f>
        <x:v>2416.666666666667</x:v>
      </x:c>
      <x:c r="S25" s="93" t="n">
        <x:f>SUM(E25,G25,I25,K25,M25,R25)</x:f>
        <x:v>17209.666666666668</x:v>
      </x:c>
      <x:c r="T25" s="93" t="n">
        <x:f>SUM(E25,G25,I25,K25)*'Assumptions'!$C$34+M25*'Assumptions'!$C$35+R25*'Assumptions'!$C$36</x:f>
        <x:v>6425.426666666667</x:v>
      </x:c>
      <x:c r="U25" s="93" t="n">
        <x:f>S25-T25</x:f>
        <x:v>10784.240000000002</x:v>
      </x:c>
    </x:row>
    <x:row r="26">
      <x:c r="A26" s="90" t="n">
        <x:v>46905</x:v>
      </x:c>
      <x:c r="B26" s="91" t="n">
        <x:v>2</x:v>
      </x:c>
      <x:c r="C26" s="91" t="n">
        <x:v>10</x:v>
      </x:c>
      <x:c r="D26" s="92" t="n">
        <x:f>'Assumptions'!$B$22*'Assumptions'!$C$30+'Assumptions'!$C$22*10/12</x:f>
        <x:v>30.166666666666668</x:v>
      </x:c>
      <x:c r="E26" s="93" t="n">
        <x:f>D26*'Assumptions'!$C$23</x:f>
        <x:v>2986.5</x:v>
      </x:c>
      <x:c r="F26" s="92" t="n">
        <x:f>'Assumptions'!$B$24*'Assumptions'!$C$30+'Assumptions'!$C$24*10/12</x:f>
        <x:v>31.633333333333333</x:v>
      </x:c>
      <x:c r="G26" s="93" t="n">
        <x:f>F26*'Assumptions'!$C$25</x:f>
        <x:v>7876.7</x:v>
      </x:c>
      <x:c r="H26" s="92" t="n">
        <x:f>'Assumptions'!$B$26*'Assumptions'!$C$30+'Assumptions'!$C$26*10/12</x:f>
        <x:v>6.866666666666667</x:v>
      </x:c>
      <x:c r="I26" s="93" t="n">
        <x:f>H26*'Assumptions'!$C$27</x:f>
        <x:v>4113.133333333333</x:v>
      </x:c>
      <x:c r="J26" s="92" t="n">
        <x:f>'Assumptions'!$B$28*'Assumptions'!$C$30+'Assumptions'!$C$28*10/12</x:f>
        <x:v>0.8333333333333334</x:v>
      </x:c>
      <x:c r="K26" s="93" t="n">
        <x:f>J26*'Assumptions'!$C$29</x:f>
        <x:v>833.3333333333334</x:v>
      </x:c>
      <x:c r="L26" s="94" t="n">
        <x:f>'Assumptions'!$C$31</x:f>
        <x:v>0</x:v>
      </x:c>
      <x:c r="M26" s="93" t="n">
        <x:f>SUM(E26,G26,I26,K26)*L26</x:f>
        <x:v>0</x:v>
      </x:c>
      <x:c r="N26" s="92" t="n">
        <x:f>SUM('Assumptions'!$C$22,'Assumptions'!$C$24,'Assumptions'!$C$26)/12</x:f>
        <x:v>4.166666666666667</x:v>
      </x:c>
      <x:c r="O26" s="93" t="n">
        <x:f>'Assumptions'!$C$32</x:f>
        <x:v>500</x:v>
      </x:c>
      <x:c r="P26" s="92" t="n">
        <x:f>'Assumptions'!$C$28/12</x:f>
        <x:v>0.08333333333333333</x:v>
      </x:c>
      <x:c r="Q26" s="93" t="n">
        <x:f>'Assumptions'!$C$33</x:f>
        <x:v>4000</x:v>
      </x:c>
      <x:c r="R26" s="93" t="n">
        <x:f>N26*O26+P26*Q26</x:f>
        <x:v>2416.666666666667</x:v>
      </x:c>
      <x:c r="S26" s="93" t="n">
        <x:f>SUM(E26,G26,I26,K26,M26,R26)</x:f>
        <x:v>18226.333333333336</x:v>
      </x:c>
      <x:c r="T26" s="93" t="n">
        <x:f>SUM(E26,G26,I26,K26)*'Assumptions'!$C$34+M26*'Assumptions'!$C$35+R26*'Assumptions'!$C$36</x:f>
        <x:v>6750.760000000001</x:v>
      </x:c>
      <x:c r="U26" s="93" t="n">
        <x:f>S26-T26</x:f>
        <x:v>11475.573333333334</x:v>
      </x:c>
    </x:row>
    <x:row r="27">
      <x:c r="A27" s="90" t="n">
        <x:v>46935</x:v>
      </x:c>
      <x:c r="B27" s="91" t="n">
        <x:v>2</x:v>
      </x:c>
      <x:c r="C27" s="91" t="n">
        <x:v>11</x:v>
      </x:c>
      <x:c r="D27" s="92" t="n">
        <x:f>'Assumptions'!$B$22*'Assumptions'!$C$30+'Assumptions'!$C$22*11/12</x:f>
        <x:v>31.833333333333332</x:v>
      </x:c>
      <x:c r="E27" s="93" t="n">
        <x:f>D27*'Assumptions'!$C$23</x:f>
        <x:v>3151.5</x:v>
      </x:c>
      <x:c r="F27" s="92" t="n">
        <x:f>'Assumptions'!$B$24*'Assumptions'!$C$30+'Assumptions'!$C$24*11/12</x:f>
        <x:v>33.71666666666667</x:v>
      </x:c>
      <x:c r="G27" s="93" t="n">
        <x:f>F27*'Assumptions'!$C$25</x:f>
        <x:v>8395.45</x:v>
      </x:c>
      <x:c r="H27" s="92" t="n">
        <x:f>'Assumptions'!$B$26*'Assumptions'!$C$30+'Assumptions'!$C$26*11/12</x:f>
        <x:v>7.283333333333333</x:v>
      </x:c>
      <x:c r="I27" s="93" t="n">
        <x:f>H27*'Assumptions'!$C$27</x:f>
        <x:v>4362.716666666666</x:v>
      </x:c>
      <x:c r="J27" s="92" t="n">
        <x:f>'Assumptions'!$B$28*'Assumptions'!$C$30+'Assumptions'!$C$28*11/12</x:f>
        <x:v>0.9166666666666666</x:v>
      </x:c>
      <x:c r="K27" s="93" t="n">
        <x:f>J27*'Assumptions'!$C$29</x:f>
        <x:v>916.6666666666666</x:v>
      </x:c>
      <x:c r="L27" s="94" t="n">
        <x:f>'Assumptions'!$C$31</x:f>
        <x:v>0</x:v>
      </x:c>
      <x:c r="M27" s="93" t="n">
        <x:f>SUM(E27,G27,I27,K27)*L27</x:f>
        <x:v>0</x:v>
      </x:c>
      <x:c r="N27" s="92" t="n">
        <x:f>SUM('Assumptions'!$C$22,'Assumptions'!$C$24,'Assumptions'!$C$26)/12</x:f>
        <x:v>4.166666666666667</x:v>
      </x:c>
      <x:c r="O27" s="93" t="n">
        <x:f>'Assumptions'!$C$32</x:f>
        <x:v>500</x:v>
      </x:c>
      <x:c r="P27" s="92" t="n">
        <x:f>'Assumptions'!$C$28/12</x:f>
        <x:v>0.08333333333333333</x:v>
      </x:c>
      <x:c r="Q27" s="93" t="n">
        <x:f>'Assumptions'!$C$33</x:f>
        <x:v>4000</x:v>
      </x:c>
      <x:c r="R27" s="93" t="n">
        <x:f>N27*O27+P27*Q27</x:f>
        <x:v>2416.666666666667</x:v>
      </x:c>
      <x:c r="S27" s="93" t="n">
        <x:f>SUM(E27,G27,I27,K27,M27,R27)</x:f>
        <x:v>19243.000000000004</x:v>
      </x:c>
      <x:c r="T27" s="93" t="n">
        <x:f>SUM(E27,G27,I27,K27)*'Assumptions'!$C$34+M27*'Assumptions'!$C$35+R27*'Assumptions'!$C$36</x:f>
        <x:v>7076.093333333334</x:v>
      </x:c>
      <x:c r="U27" s="93" t="n">
        <x:f>S27-T27</x:f>
        <x:v>12166.90666666667</x:v>
      </x:c>
    </x:row>
    <x:row r="28">
      <x:c r="A28" s="90" t="n">
        <x:v>46966</x:v>
      </x:c>
      <x:c r="B28" s="91" t="n">
        <x:v>2</x:v>
      </x:c>
      <x:c r="C28" s="91" t="n">
        <x:v>12</x:v>
      </x:c>
      <x:c r="D28" s="92" t="n">
        <x:f>'Assumptions'!$B$22*'Assumptions'!$C$30+'Assumptions'!$C$22*12/12</x:f>
        <x:v>33.5</x:v>
      </x:c>
      <x:c r="E28" s="93" t="n">
        <x:f>D28*'Assumptions'!$C$23</x:f>
        <x:v>3316.5</x:v>
      </x:c>
      <x:c r="F28" s="92" t="n">
        <x:f>'Assumptions'!$B$24*'Assumptions'!$C$30+'Assumptions'!$C$24*12/12</x:f>
        <x:v>35.8</x:v>
      </x:c>
      <x:c r="G28" s="93" t="n">
        <x:f>F28*'Assumptions'!$C$25</x:f>
        <x:v>8914.199999999999</x:v>
      </x:c>
      <x:c r="H28" s="92" t="n">
        <x:f>'Assumptions'!$B$26*'Assumptions'!$C$30+'Assumptions'!$C$26*12/12</x:f>
        <x:v>7.7</x:v>
      </x:c>
      <x:c r="I28" s="93" t="n">
        <x:f>H28*'Assumptions'!$C$27</x:f>
        <x:v>4612.3</x:v>
      </x:c>
      <x:c r="J28" s="92" t="n">
        <x:f>'Assumptions'!$B$28*'Assumptions'!$C$30+'Assumptions'!$C$28*12/12</x:f>
        <x:v>1</x:v>
      </x:c>
      <x:c r="K28" s="93" t="n">
        <x:f>J28*'Assumptions'!$C$29</x:f>
        <x:v>1000</x:v>
      </x:c>
      <x:c r="L28" s="94" t="n">
        <x:f>'Assumptions'!$C$31</x:f>
        <x:v>0</x:v>
      </x:c>
      <x:c r="M28" s="93" t="n">
        <x:f>SUM(E28,G28,I28,K28)*L28</x:f>
        <x:v>0</x:v>
      </x:c>
      <x:c r="N28" s="92" t="n">
        <x:f>SUM('Assumptions'!$C$22,'Assumptions'!$C$24,'Assumptions'!$C$26)/12</x:f>
        <x:v>4.166666666666667</x:v>
      </x:c>
      <x:c r="O28" s="93" t="n">
        <x:f>'Assumptions'!$C$32</x:f>
        <x:v>500</x:v>
      </x:c>
      <x:c r="P28" s="92" t="n">
        <x:f>'Assumptions'!$C$28/12</x:f>
        <x:v>0.08333333333333333</x:v>
      </x:c>
      <x:c r="Q28" s="93" t="n">
        <x:f>'Assumptions'!$C$33</x:f>
        <x:v>4000</x:v>
      </x:c>
      <x:c r="R28" s="93" t="n">
        <x:f>N28*O28+P28*Q28</x:f>
        <x:v>2416.666666666667</x:v>
      </x:c>
      <x:c r="S28" s="93" t="n">
        <x:f>SUM(E28,G28,I28,K28,M28,R28)</x:f>
        <x:v>20259.666666666668</x:v>
      </x:c>
      <x:c r="T28" s="93" t="n">
        <x:f>SUM(E28,G28,I28,K28)*'Assumptions'!$C$34+M28*'Assumptions'!$C$35+R28*'Assumptions'!$C$36</x:f>
        <x:v>7401.426666666667</x:v>
      </x:c>
      <x:c r="U28" s="93" t="n">
        <x:f>S28-T28</x:f>
        <x:v>12858.240000000002</x:v>
      </x:c>
    </x:row>
    <x:row r="29">
      <x:c r="A29" s="90" t="n">
        <x:v>46997</x:v>
      </x:c>
      <x:c r="B29" s="91" t="n">
        <x:v>3</x:v>
      </x:c>
      <x:c r="C29" s="91" t="n">
        <x:v>1</x:v>
      </x:c>
      <x:c r="D29" s="92" t="n">
        <x:f>'Assumptions'!$B$22*'Assumptions'!$C$30*'Assumptions'!$D$30+'Assumptions'!$C$22*'Assumptions'!$D$30+'Assumptions'!$D$22*1/12</x:f>
        <x:v>32.65</x:v>
      </x:c>
      <x:c r="E29" s="93" t="n">
        <x:f>D29*'Assumptions'!$D$23</x:f>
        <x:v>3232.35</x:v>
      </x:c>
      <x:c r="F29" s="92" t="n">
        <x:f>'Assumptions'!$B$24*'Assumptions'!$C$30*'Assumptions'!$D$30+'Assumptions'!$C$24*'Assumptions'!$D$30+'Assumptions'!$D$24*1/12</x:f>
        <x:v>37.22</x:v>
      </x:c>
      <x:c r="G29" s="93" t="n">
        <x:f>F29*'Assumptions'!$D$25</x:f>
        <x:v>9267.779999999999</x:v>
      </x:c>
      <x:c r="H29" s="92" t="n">
        <x:f>'Assumptions'!$B$26*'Assumptions'!$C$30*'Assumptions'!$D$30+'Assumptions'!$C$26*'Assumptions'!$D$30+'Assumptions'!$D$26*1/12</x:f>
        <x:v>7.93</x:v>
      </x:c>
      <x:c r="I29" s="93" t="n">
        <x:f>H29*'Assumptions'!$D$27</x:f>
        <x:v>4750.07</x:v>
      </x:c>
      <x:c r="J29" s="92" t="n">
        <x:f>'Assumptions'!$B$28*'Assumptions'!$C$30*'Assumptions'!$D$30+'Assumptions'!$C$28*'Assumptions'!$D$30+'Assumptions'!$D$28*1/12</x:f>
        <x:v>1.0666666666666667</x:v>
      </x:c>
      <x:c r="K29" s="93" t="n">
        <x:f>J29*'Assumptions'!$D$29</x:f>
        <x:v>1066.6666666666667</x:v>
      </x:c>
      <x:c r="L29" s="94" t="n">
        <x:f>'Assumptions'!$D$31</x:f>
        <x:v>0.03</x:v>
      </x:c>
      <x:c r="M29" s="93" t="n">
        <x:f>SUM(E29,G29,I29,K29)*L29</x:f>
        <x:v>549.506</x:v>
      </x:c>
      <x:c r="N29" s="92" t="n">
        <x:f>SUM('Assumptions'!$D$22,'Assumptions'!$D$24,'Assumptions'!$D$26)/12</x:f>
        <x:v>8.5</x:v>
      </x:c>
      <x:c r="O29" s="93" t="n">
        <x:f>'Assumptions'!$D$32</x:f>
        <x:v>400</x:v>
      </x:c>
      <x:c r="P29" s="92" t="n">
        <x:f>'Assumptions'!$D$28/12</x:f>
        <x:v>0.16666666666666666</x:v>
      </x:c>
      <x:c r="Q29" s="93" t="n">
        <x:f>'Assumptions'!$D$33</x:f>
        <x:v>5000</x:v>
      </x:c>
      <x:c r="R29" s="93" t="n">
        <x:f>N29*O29+P29*Q29</x:f>
        <x:v>4233.333333333333</x:v>
      </x:c>
      <x:c r="S29" s="93" t="n">
        <x:f>SUM(E29,G29,I29,K29,M29,R29)</x:f>
        <x:v>23099.706</x:v>
      </x:c>
      <x:c r="T29" s="93" t="n">
        <x:f>SUM(E29,G29,I29,K29)*'Assumptions'!$D$34+M29*'Assumptions'!$D$35+R29*'Assumptions'!$D$36</x:f>
        <x:v>8678.195733333332</x:v>
      </x:c>
      <x:c r="U29" s="93" t="n">
        <x:f>S29-T29</x:f>
        <x:v>14421.510266666666</x:v>
      </x:c>
    </x:row>
    <x:row r="30">
      <x:c r="A30" s="90" t="n">
        <x:v>47027</x:v>
      </x:c>
      <x:c r="B30" s="91" t="n">
        <x:v>3</x:v>
      </x:c>
      <x:c r="C30" s="91" t="n">
        <x:v>2</x:v>
      </x:c>
      <x:c r="D30" s="92" t="n">
        <x:f>'Assumptions'!$B$22*'Assumptions'!$C$30*'Assumptions'!$D$30+'Assumptions'!$C$22*'Assumptions'!$D$30+'Assumptions'!$D$22*2/12</x:f>
        <x:v>35.15</x:v>
      </x:c>
      <x:c r="E30" s="93" t="n">
        <x:f>D30*'Assumptions'!$D$23</x:f>
        <x:v>3479.85</x:v>
      </x:c>
      <x:c r="F30" s="92" t="n">
        <x:f>'Assumptions'!$B$24*'Assumptions'!$C$30*'Assumptions'!$D$30+'Assumptions'!$C$24*'Assumptions'!$D$30+'Assumptions'!$D$24*2/12</x:f>
        <x:v>42.22</x:v>
      </x:c>
      <x:c r="G30" s="93" t="n">
        <x:f>F30*'Assumptions'!$D$25</x:f>
        <x:v>10512.779999999999</x:v>
      </x:c>
      <x:c r="H30" s="92" t="n">
        <x:f>'Assumptions'!$B$26*'Assumptions'!$C$30*'Assumptions'!$D$30+'Assumptions'!$C$26*'Assumptions'!$D$30+'Assumptions'!$D$26*2/12</x:f>
        <x:v>8.93</x:v>
      </x:c>
      <x:c r="I30" s="93" t="n">
        <x:f>H30*'Assumptions'!$D$27</x:f>
        <x:v>5349.07</x:v>
      </x:c>
      <x:c r="J30" s="92" t="n">
        <x:f>'Assumptions'!$B$28*'Assumptions'!$C$30*'Assumptions'!$D$30+'Assumptions'!$C$28*'Assumptions'!$D$30+'Assumptions'!$D$28*2/12</x:f>
        <x:v>1.2333333333333334</x:v>
      </x:c>
      <x:c r="K30" s="93" t="n">
        <x:f>J30*'Assumptions'!$D$29</x:f>
        <x:v>1233.3333333333335</x:v>
      </x:c>
      <x:c r="L30" s="94" t="n">
        <x:f>'Assumptions'!$D$31</x:f>
        <x:v>0.03</x:v>
      </x:c>
      <x:c r="M30" s="93" t="n">
        <x:f>SUM(E30,G30,I30,K30)*L30</x:f>
        <x:v>617.2509999999999</x:v>
      </x:c>
      <x:c r="N30" s="92" t="n">
        <x:f>SUM('Assumptions'!$D$22,'Assumptions'!$D$24,'Assumptions'!$D$26)/12</x:f>
        <x:v>8.5</x:v>
      </x:c>
      <x:c r="O30" s="93" t="n">
        <x:f>'Assumptions'!$D$32</x:f>
        <x:v>400</x:v>
      </x:c>
      <x:c r="P30" s="92" t="n">
        <x:f>'Assumptions'!$D$28/12</x:f>
        <x:v>0.16666666666666666</x:v>
      </x:c>
      <x:c r="Q30" s="93" t="n">
        <x:f>'Assumptions'!$D$33</x:f>
        <x:v>5000</x:v>
      </x:c>
      <x:c r="R30" s="93" t="n">
        <x:f>N30*O30+P30*Q30</x:f>
        <x:v>4233.333333333333</x:v>
      </x:c>
      <x:c r="S30" s="93" t="n">
        <x:f>SUM(E30,G30,I30,K30,M30,R30)</x:f>
        <x:v>25425.61766666666</x:v>
      </x:c>
      <x:c r="T30" s="93" t="n">
        <x:f>SUM(E30,G30,I30,K30)*'Assumptions'!$D$34+M30*'Assumptions'!$D$35+R30*'Assumptions'!$D$36</x:f>
        <x:v>9382.743733333331</x:v>
      </x:c>
      <x:c r="U30" s="93" t="n">
        <x:f>S30-T30</x:f>
        <x:v>16042.87393333333</x:v>
      </x:c>
    </x:row>
    <x:row r="31">
      <x:c r="A31" s="90" t="n">
        <x:v>47058</x:v>
      </x:c>
      <x:c r="B31" s="91" t="n">
        <x:v>3</x:v>
      </x:c>
      <x:c r="C31" s="91" t="n">
        <x:v>3</x:v>
      </x:c>
      <x:c r="D31" s="92" t="n">
        <x:f>'Assumptions'!$B$22*'Assumptions'!$C$30*'Assumptions'!$D$30+'Assumptions'!$C$22*'Assumptions'!$D$30+'Assumptions'!$D$22*3/12</x:f>
        <x:v>37.65</x:v>
      </x:c>
      <x:c r="E31" s="93" t="n">
        <x:f>D31*'Assumptions'!$D$23</x:f>
        <x:v>3727.35</x:v>
      </x:c>
      <x:c r="F31" s="92" t="n">
        <x:f>'Assumptions'!$B$24*'Assumptions'!$C$30*'Assumptions'!$D$30+'Assumptions'!$C$24*'Assumptions'!$D$30+'Assumptions'!$D$24*3/12</x:f>
        <x:v>47.22</x:v>
      </x:c>
      <x:c r="G31" s="93" t="n">
        <x:f>F31*'Assumptions'!$D$25</x:f>
        <x:v>11757.779999999999</x:v>
      </x:c>
      <x:c r="H31" s="92" t="n">
        <x:f>'Assumptions'!$B$26*'Assumptions'!$C$30*'Assumptions'!$D$30+'Assumptions'!$C$26*'Assumptions'!$D$30+'Assumptions'!$D$26*3/12</x:f>
        <x:v>9.93</x:v>
      </x:c>
      <x:c r="I31" s="93" t="n">
        <x:f>H31*'Assumptions'!$D$27</x:f>
        <x:v>5948.07</x:v>
      </x:c>
      <x:c r="J31" s="92" t="n">
        <x:f>'Assumptions'!$B$28*'Assumptions'!$C$30*'Assumptions'!$D$30+'Assumptions'!$C$28*'Assumptions'!$D$30+'Assumptions'!$D$28*3/12</x:f>
        <x:v>1.4</x:v>
      </x:c>
      <x:c r="K31" s="93" t="n">
        <x:f>J31*'Assumptions'!$D$29</x:f>
        <x:v>1400</x:v>
      </x:c>
      <x:c r="L31" s="94" t="n">
        <x:f>'Assumptions'!$D$31</x:f>
        <x:v>0.03</x:v>
      </x:c>
      <x:c r="M31" s="93" t="n">
        <x:f>SUM(E31,G31,I31,K31)*L31</x:f>
        <x:v>684.9959999999999</x:v>
      </x:c>
      <x:c r="N31" s="92" t="n">
        <x:f>SUM('Assumptions'!$D$22,'Assumptions'!$D$24,'Assumptions'!$D$26)/12</x:f>
        <x:v>8.5</x:v>
      </x:c>
      <x:c r="O31" s="93" t="n">
        <x:f>'Assumptions'!$D$32</x:f>
        <x:v>400</x:v>
      </x:c>
      <x:c r="P31" s="92" t="n">
        <x:f>'Assumptions'!$D$28/12</x:f>
        <x:v>0.16666666666666666</x:v>
      </x:c>
      <x:c r="Q31" s="93" t="n">
        <x:f>'Assumptions'!$D$33</x:f>
        <x:v>5000</x:v>
      </x:c>
      <x:c r="R31" s="93" t="n">
        <x:f>N31*O31+P31*Q31</x:f>
        <x:v>4233.333333333333</x:v>
      </x:c>
      <x:c r="S31" s="93" t="n">
        <x:f>SUM(E31,G31,I31,K31,M31,R31)</x:f>
        <x:v>27751.52933333333</x:v>
      </x:c>
      <x:c r="T31" s="93" t="n">
        <x:f>SUM(E31,G31,I31,K31)*'Assumptions'!$D$34+M31*'Assumptions'!$D$35+R31*'Assumptions'!$D$36</x:f>
        <x:v>10087.291733333332</x:v>
      </x:c>
      <x:c r="U31" s="93" t="n">
        <x:f>S31-T31</x:f>
        <x:v>17664.237599999997</x:v>
      </x:c>
    </x:row>
    <x:row r="32">
      <x:c r="A32" s="90" t="n">
        <x:v>47088</x:v>
      </x:c>
      <x:c r="B32" s="91" t="n">
        <x:v>3</x:v>
      </x:c>
      <x:c r="C32" s="91" t="n">
        <x:v>4</x:v>
      </x:c>
      <x:c r="D32" s="92" t="n">
        <x:f>'Assumptions'!$B$22*'Assumptions'!$C$30*'Assumptions'!$D$30+'Assumptions'!$C$22*'Assumptions'!$D$30+'Assumptions'!$D$22*4/12</x:f>
        <x:v>40.15</x:v>
      </x:c>
      <x:c r="E32" s="93" t="n">
        <x:f>D32*'Assumptions'!$D$23</x:f>
        <x:v>3974.85</x:v>
      </x:c>
      <x:c r="F32" s="92" t="n">
        <x:f>'Assumptions'!$B$24*'Assumptions'!$C$30*'Assumptions'!$D$30+'Assumptions'!$C$24*'Assumptions'!$D$30+'Assumptions'!$D$24*4/12</x:f>
        <x:v>52.22</x:v>
      </x:c>
      <x:c r="G32" s="93" t="n">
        <x:f>F32*'Assumptions'!$D$25</x:f>
        <x:v>13002.779999999999</x:v>
      </x:c>
      <x:c r="H32" s="92" t="n">
        <x:f>'Assumptions'!$B$26*'Assumptions'!$C$30*'Assumptions'!$D$30+'Assumptions'!$C$26*'Assumptions'!$D$30+'Assumptions'!$D$26*4/12</x:f>
        <x:v>10.93</x:v>
      </x:c>
      <x:c r="I32" s="93" t="n">
        <x:f>H32*'Assumptions'!$D$27</x:f>
        <x:v>6547.07</x:v>
      </x:c>
      <x:c r="J32" s="92" t="n">
        <x:f>'Assumptions'!$B$28*'Assumptions'!$C$30*'Assumptions'!$D$30+'Assumptions'!$C$28*'Assumptions'!$D$30+'Assumptions'!$D$28*4/12</x:f>
        <x:v>1.5666666666666667</x:v>
      </x:c>
      <x:c r="K32" s="93" t="n">
        <x:f>J32*'Assumptions'!$D$29</x:f>
        <x:v>1566.6666666666667</x:v>
      </x:c>
      <x:c r="L32" s="94" t="n">
        <x:f>'Assumptions'!$D$31</x:f>
        <x:v>0.03</x:v>
      </x:c>
      <x:c r="M32" s="93" t="n">
        <x:f>SUM(E32,G32,I32,K32)*L32</x:f>
        <x:v>752.7409999999999</x:v>
      </x:c>
      <x:c r="N32" s="92" t="n">
        <x:f>SUM('Assumptions'!$D$22,'Assumptions'!$D$24,'Assumptions'!$D$26)/12</x:f>
        <x:v>8.5</x:v>
      </x:c>
      <x:c r="O32" s="93" t="n">
        <x:f>'Assumptions'!$D$32</x:f>
        <x:v>400</x:v>
      </x:c>
      <x:c r="P32" s="92" t="n">
        <x:f>'Assumptions'!$D$28/12</x:f>
        <x:v>0.16666666666666666</x:v>
      </x:c>
      <x:c r="Q32" s="93" t="n">
        <x:f>'Assumptions'!$D$33</x:f>
        <x:v>5000</x:v>
      </x:c>
      <x:c r="R32" s="93" t="n">
        <x:f>N32*O32+P32*Q32</x:f>
        <x:v>4233.333333333333</x:v>
      </x:c>
      <x:c r="S32" s="93" t="n">
        <x:f>SUM(E32,G32,I32,K32,M32,R32)</x:f>
        <x:v>30077.440999999995</x:v>
      </x:c>
      <x:c r="T32" s="93" t="n">
        <x:f>SUM(E32,G32,I32,K32)*'Assumptions'!$D$34+M32*'Assumptions'!$D$35+R32*'Assumptions'!$D$36</x:f>
        <x:v>10791.839733333332</x:v>
      </x:c>
      <x:c r="U32" s="93" t="n">
        <x:f>S32-T32</x:f>
        <x:v>19285.601266666665</x:v>
      </x:c>
    </x:row>
    <x:row r="33">
      <x:c r="A33" s="90" t="n">
        <x:v>47119</x:v>
      </x:c>
      <x:c r="B33" s="91" t="n">
        <x:v>3</x:v>
      </x:c>
      <x:c r="C33" s="91" t="n">
        <x:v>5</x:v>
      </x:c>
      <x:c r="D33" s="92" t="n">
        <x:f>'Assumptions'!$B$22*'Assumptions'!$C$30*'Assumptions'!$D$30+'Assumptions'!$C$22*'Assumptions'!$D$30+'Assumptions'!$D$22*5/12</x:f>
        <x:v>42.65</x:v>
      </x:c>
      <x:c r="E33" s="93" t="n">
        <x:f>D33*'Assumptions'!$D$23</x:f>
        <x:v>4222.349999999999</x:v>
      </x:c>
      <x:c r="F33" s="92" t="n">
        <x:f>'Assumptions'!$B$24*'Assumptions'!$C$30*'Assumptions'!$D$30+'Assumptions'!$C$24*'Assumptions'!$D$30+'Assumptions'!$D$24*5/12</x:f>
        <x:v>57.22</x:v>
      </x:c>
      <x:c r="G33" s="93" t="n">
        <x:f>F33*'Assumptions'!$D$25</x:f>
        <x:v>14247.779999999999</x:v>
      </x:c>
      <x:c r="H33" s="92" t="n">
        <x:f>'Assumptions'!$B$26*'Assumptions'!$C$30*'Assumptions'!$D$30+'Assumptions'!$C$26*'Assumptions'!$D$30+'Assumptions'!$D$26*5/12</x:f>
        <x:v>11.93</x:v>
      </x:c>
      <x:c r="I33" s="93" t="n">
        <x:f>H33*'Assumptions'!$D$27</x:f>
        <x:v>7146.07</x:v>
      </x:c>
      <x:c r="J33" s="92" t="n">
        <x:f>'Assumptions'!$B$28*'Assumptions'!$C$30*'Assumptions'!$D$30+'Assumptions'!$C$28*'Assumptions'!$D$30+'Assumptions'!$D$28*5/12</x:f>
        <x:v>1.7333333333333334</x:v>
      </x:c>
      <x:c r="K33" s="93" t="n">
        <x:f>J33*'Assumptions'!$D$29</x:f>
        <x:v>1733.3333333333335</x:v>
      </x:c>
      <x:c r="L33" s="94" t="n">
        <x:f>'Assumptions'!$D$31</x:f>
        <x:v>0.03</x:v>
      </x:c>
      <x:c r="M33" s="93" t="n">
        <x:f>SUM(E33,G33,I33,K33)*L33</x:f>
        <x:v>820.4859999999999</x:v>
      </x:c>
      <x:c r="N33" s="92" t="n">
        <x:f>SUM('Assumptions'!$D$22,'Assumptions'!$D$24,'Assumptions'!$D$26)/12</x:f>
        <x:v>8.5</x:v>
      </x:c>
      <x:c r="O33" s="93" t="n">
        <x:f>'Assumptions'!$D$32</x:f>
        <x:v>400</x:v>
      </x:c>
      <x:c r="P33" s="92" t="n">
        <x:f>'Assumptions'!$D$28/12</x:f>
        <x:v>0.16666666666666666</x:v>
      </x:c>
      <x:c r="Q33" s="93" t="n">
        <x:f>'Assumptions'!$D$33</x:f>
        <x:v>5000</x:v>
      </x:c>
      <x:c r="R33" s="93" t="n">
        <x:f>N33*O33+P33*Q33</x:f>
        <x:v>4233.333333333333</x:v>
      </x:c>
      <x:c r="S33" s="93" t="n">
        <x:f>SUM(E33,G33,I33,K33,M33,R33)</x:f>
        <x:v>32403.352666666662</x:v>
      </x:c>
      <x:c r="T33" s="93" t="n">
        <x:f>SUM(E33,G33,I33,K33)*'Assumptions'!$D$34+M33*'Assumptions'!$D$35+R33*'Assumptions'!$D$36</x:f>
        <x:v>11496.387733333333</x:v>
      </x:c>
      <x:c r="U33" s="93" t="n">
        <x:f>S33-T33</x:f>
        <x:v>20906.96493333333</x:v>
      </x:c>
    </x:row>
    <x:row r="34">
      <x:c r="A34" s="90" t="n">
        <x:v>47150</x:v>
      </x:c>
      <x:c r="B34" s="91" t="n">
        <x:v>3</x:v>
      </x:c>
      <x:c r="C34" s="91" t="n">
        <x:v>6</x:v>
      </x:c>
      <x:c r="D34" s="92" t="n">
        <x:f>'Assumptions'!$B$22*'Assumptions'!$C$30*'Assumptions'!$D$30+'Assumptions'!$C$22*'Assumptions'!$D$30+'Assumptions'!$D$22*6/12</x:f>
        <x:v>45.15</x:v>
      </x:c>
      <x:c r="E34" s="93" t="n">
        <x:f>D34*'Assumptions'!$D$23</x:f>
        <x:v>4469.849999999999</x:v>
      </x:c>
      <x:c r="F34" s="92" t="n">
        <x:f>'Assumptions'!$B$24*'Assumptions'!$C$30*'Assumptions'!$D$30+'Assumptions'!$C$24*'Assumptions'!$D$30+'Assumptions'!$D$24*6/12</x:f>
        <x:v>62.22</x:v>
      </x:c>
      <x:c r="G34" s="93" t="n">
        <x:f>F34*'Assumptions'!$D$25</x:f>
        <x:v>15492.779999999999</x:v>
      </x:c>
      <x:c r="H34" s="92" t="n">
        <x:f>'Assumptions'!$B$26*'Assumptions'!$C$30*'Assumptions'!$D$30+'Assumptions'!$C$26*'Assumptions'!$D$30+'Assumptions'!$D$26*6/12</x:f>
        <x:v>12.93</x:v>
      </x:c>
      <x:c r="I34" s="93" t="n">
        <x:f>H34*'Assumptions'!$D$27</x:f>
        <x:v>7745.07</x:v>
      </x:c>
      <x:c r="J34" s="92" t="n">
        <x:f>'Assumptions'!$B$28*'Assumptions'!$C$30*'Assumptions'!$D$30+'Assumptions'!$C$28*'Assumptions'!$D$30+'Assumptions'!$D$28*6/12</x:f>
        <x:v>1.9</x:v>
      </x:c>
      <x:c r="K34" s="93" t="n">
        <x:f>J34*'Assumptions'!$D$29</x:f>
        <x:v>1900</x:v>
      </x:c>
      <x:c r="L34" s="94" t="n">
        <x:f>'Assumptions'!$D$31</x:f>
        <x:v>0.03</x:v>
      </x:c>
      <x:c r="M34" s="93" t="n">
        <x:f>SUM(E34,G34,I34,K34)*L34</x:f>
        <x:v>888.2309999999999</x:v>
      </x:c>
      <x:c r="N34" s="92" t="n">
        <x:f>SUM('Assumptions'!$D$22,'Assumptions'!$D$24,'Assumptions'!$D$26)/12</x:f>
        <x:v>8.5</x:v>
      </x:c>
      <x:c r="O34" s="93" t="n">
        <x:f>'Assumptions'!$D$32</x:f>
        <x:v>400</x:v>
      </x:c>
      <x:c r="P34" s="92" t="n">
        <x:f>'Assumptions'!$D$28/12</x:f>
        <x:v>0.16666666666666666</x:v>
      </x:c>
      <x:c r="Q34" s="93" t="n">
        <x:f>'Assumptions'!$D$33</x:f>
        <x:v>5000</x:v>
      </x:c>
      <x:c r="R34" s="93" t="n">
        <x:f>N34*O34+P34*Q34</x:f>
        <x:v>4233.333333333333</x:v>
      </x:c>
      <x:c r="S34" s="93" t="n">
        <x:f>SUM(E34,G34,I34,K34,M34,R34)</x:f>
        <x:v>34729.26433333333</x:v>
      </x:c>
      <x:c r="T34" s="93" t="n">
        <x:f>SUM(E34,G34,I34,K34)*'Assumptions'!$D$34+M34*'Assumptions'!$D$35+R34*'Assumptions'!$D$36</x:f>
        <x:v>12200.935733333332</x:v>
      </x:c>
      <x:c r="U34" s="93" t="n">
        <x:f>S34-T34</x:f>
        <x:v>22528.3286</x:v>
      </x:c>
    </x:row>
    <x:row r="35">
      <x:c r="A35" s="90" t="n">
        <x:v>47178</x:v>
      </x:c>
      <x:c r="B35" s="91" t="n">
        <x:v>3</x:v>
      </x:c>
      <x:c r="C35" s="91" t="n">
        <x:v>7</x:v>
      </x:c>
      <x:c r="D35" s="92" t="n">
        <x:f>'Assumptions'!$B$22*'Assumptions'!$C$30*'Assumptions'!$D$30+'Assumptions'!$C$22*'Assumptions'!$D$30+'Assumptions'!$D$22*7/12</x:f>
        <x:v>47.65</x:v>
      </x:c>
      <x:c r="E35" s="93" t="n">
        <x:f>D35*'Assumptions'!$D$23</x:f>
        <x:v>4717.349999999999</x:v>
      </x:c>
      <x:c r="F35" s="92" t="n">
        <x:f>'Assumptions'!$B$24*'Assumptions'!$C$30*'Assumptions'!$D$30+'Assumptions'!$C$24*'Assumptions'!$D$30+'Assumptions'!$D$24*7/12</x:f>
        <x:v>67.22</x:v>
      </x:c>
      <x:c r="G35" s="93" t="n">
        <x:f>F35*'Assumptions'!$D$25</x:f>
        <x:v>16737.78</x:v>
      </x:c>
      <x:c r="H35" s="92" t="n">
        <x:f>'Assumptions'!$B$26*'Assumptions'!$C$30*'Assumptions'!$D$30+'Assumptions'!$C$26*'Assumptions'!$D$30+'Assumptions'!$D$26*7/12</x:f>
        <x:v>13.93</x:v>
      </x:c>
      <x:c r="I35" s="93" t="n">
        <x:f>H35*'Assumptions'!$D$27</x:f>
        <x:v>8344.07</x:v>
      </x:c>
      <x:c r="J35" s="92" t="n">
        <x:f>'Assumptions'!$B$28*'Assumptions'!$C$30*'Assumptions'!$D$30+'Assumptions'!$C$28*'Assumptions'!$D$30+'Assumptions'!$D$28*7/12</x:f>
        <x:v>2.066666666666667</x:v>
      </x:c>
      <x:c r="K35" s="93" t="n">
        <x:f>J35*'Assumptions'!$D$29</x:f>
        <x:v>2066.666666666667</x:v>
      </x:c>
      <x:c r="L35" s="94" t="n">
        <x:f>'Assumptions'!$D$31</x:f>
        <x:v>0.03</x:v>
      </x:c>
      <x:c r="M35" s="93" t="n">
        <x:f>SUM(E35,G35,I35,K35)*L35</x:f>
        <x:v>955.9759999999999</x:v>
      </x:c>
      <x:c r="N35" s="92" t="n">
        <x:f>SUM('Assumptions'!$D$22,'Assumptions'!$D$24,'Assumptions'!$D$26)/12</x:f>
        <x:v>8.5</x:v>
      </x:c>
      <x:c r="O35" s="93" t="n">
        <x:f>'Assumptions'!$D$32</x:f>
        <x:v>400</x:v>
      </x:c>
      <x:c r="P35" s="92" t="n">
        <x:f>'Assumptions'!$D$28/12</x:f>
        <x:v>0.16666666666666666</x:v>
      </x:c>
      <x:c r="Q35" s="93" t="n">
        <x:f>'Assumptions'!$D$33</x:f>
        <x:v>5000</x:v>
      </x:c>
      <x:c r="R35" s="93" t="n">
        <x:f>N35*O35+P35*Q35</x:f>
        <x:v>4233.333333333333</x:v>
      </x:c>
      <x:c r="S35" s="93" t="n">
        <x:f>SUM(E35,G35,I35,K35,M35,R35)</x:f>
        <x:v>37055.176</x:v>
      </x:c>
      <x:c r="T35" s="93" t="n">
        <x:f>SUM(E35,G35,I35,K35)*'Assumptions'!$D$34+M35*'Assumptions'!$D$35+R35*'Assumptions'!$D$36</x:f>
        <x:v>12905.48373333333</x:v>
      </x:c>
      <x:c r="U35" s="93" t="n">
        <x:f>S35-T35</x:f>
        <x:v>24149.69226666667</x:v>
      </x:c>
    </x:row>
    <x:row r="36">
      <x:c r="A36" s="90" t="n">
        <x:v>47209</x:v>
      </x:c>
      <x:c r="B36" s="91" t="n">
        <x:v>3</x:v>
      </x:c>
      <x:c r="C36" s="91" t="n">
        <x:v>8</x:v>
      </x:c>
      <x:c r="D36" s="92" t="n">
        <x:f>'Assumptions'!$B$22*'Assumptions'!$C$30*'Assumptions'!$D$30+'Assumptions'!$C$22*'Assumptions'!$D$30+'Assumptions'!$D$22*8/12</x:f>
        <x:v>50.15</x:v>
      </x:c>
      <x:c r="E36" s="93" t="n">
        <x:f>D36*'Assumptions'!$D$23</x:f>
        <x:v>4964.849999999999</x:v>
      </x:c>
      <x:c r="F36" s="92" t="n">
        <x:f>'Assumptions'!$B$24*'Assumptions'!$C$30*'Assumptions'!$D$30+'Assumptions'!$C$24*'Assumptions'!$D$30+'Assumptions'!$D$24*8/12</x:f>
        <x:v>72.22</x:v>
      </x:c>
      <x:c r="G36" s="93" t="n">
        <x:f>F36*'Assumptions'!$D$25</x:f>
        <x:v>17982.78</x:v>
      </x:c>
      <x:c r="H36" s="92" t="n">
        <x:f>'Assumptions'!$B$26*'Assumptions'!$C$30*'Assumptions'!$D$30+'Assumptions'!$C$26*'Assumptions'!$D$30+'Assumptions'!$D$26*8/12</x:f>
        <x:v>14.93</x:v>
      </x:c>
      <x:c r="I36" s="93" t="n">
        <x:f>H36*'Assumptions'!$D$27</x:f>
        <x:v>8943.07</x:v>
      </x:c>
      <x:c r="J36" s="92" t="n">
        <x:f>'Assumptions'!$B$28*'Assumptions'!$C$30*'Assumptions'!$D$30+'Assumptions'!$C$28*'Assumptions'!$D$30+'Assumptions'!$D$28*8/12</x:f>
        <x:v>2.2333333333333334</x:v>
      </x:c>
      <x:c r="K36" s="93" t="n">
        <x:f>J36*'Assumptions'!$D$29</x:f>
        <x:v>2233.3333333333335</x:v>
      </x:c>
      <x:c r="L36" s="94" t="n">
        <x:f>'Assumptions'!$D$31</x:f>
        <x:v>0.03</x:v>
      </x:c>
      <x:c r="M36" s="93" t="n">
        <x:f>SUM(E36,G36,I36,K36)*L36</x:f>
        <x:v>1023.721</x:v>
      </x:c>
      <x:c r="N36" s="92" t="n">
        <x:f>SUM('Assumptions'!$D$22,'Assumptions'!$D$24,'Assumptions'!$D$26)/12</x:f>
        <x:v>8.5</x:v>
      </x:c>
      <x:c r="O36" s="93" t="n">
        <x:f>'Assumptions'!$D$32</x:f>
        <x:v>400</x:v>
      </x:c>
      <x:c r="P36" s="92" t="n">
        <x:f>'Assumptions'!$D$28/12</x:f>
        <x:v>0.16666666666666666</x:v>
      </x:c>
      <x:c r="Q36" s="93" t="n">
        <x:f>'Assumptions'!$D$33</x:f>
        <x:v>5000</x:v>
      </x:c>
      <x:c r="R36" s="93" t="n">
        <x:f>N36*O36+P36*Q36</x:f>
        <x:v>4233.333333333333</x:v>
      </x:c>
      <x:c r="S36" s="93" t="n">
        <x:f>SUM(E36,G36,I36,K36,M36,R36)</x:f>
        <x:v>39381.087666666666</x:v>
      </x:c>
      <x:c r="T36" s="93" t="n">
        <x:f>SUM(E36,G36,I36,K36)*'Assumptions'!$D$34+M36*'Assumptions'!$D$35+R36*'Assumptions'!$D$36</x:f>
        <x:v>13610.031733333333</x:v>
      </x:c>
      <x:c r="U36" s="93" t="n">
        <x:f>S36-T36</x:f>
        <x:v>25771.055933333333</x:v>
      </x:c>
    </x:row>
    <x:row r="37">
      <x:c r="A37" s="90" t="n">
        <x:v>47239</x:v>
      </x:c>
      <x:c r="B37" s="91" t="n">
        <x:v>3</x:v>
      </x:c>
      <x:c r="C37" s="91" t="n">
        <x:v>9</x:v>
      </x:c>
      <x:c r="D37" s="92" t="n">
        <x:f>'Assumptions'!$B$22*'Assumptions'!$C$30*'Assumptions'!$D$30+'Assumptions'!$C$22*'Assumptions'!$D$30+'Assumptions'!$D$22*9/12</x:f>
        <x:v>52.65</x:v>
      </x:c>
      <x:c r="E37" s="93" t="n">
        <x:f>D37*'Assumptions'!$D$23</x:f>
        <x:v>5212.349999999999</x:v>
      </x:c>
      <x:c r="F37" s="92" t="n">
        <x:f>'Assumptions'!$B$24*'Assumptions'!$C$30*'Assumptions'!$D$30+'Assumptions'!$C$24*'Assumptions'!$D$30+'Assumptions'!$D$24*9/12</x:f>
        <x:v>77.22</x:v>
      </x:c>
      <x:c r="G37" s="93" t="n">
        <x:f>F37*'Assumptions'!$D$25</x:f>
        <x:v>19227.78</x:v>
      </x:c>
      <x:c r="H37" s="92" t="n">
        <x:f>'Assumptions'!$B$26*'Assumptions'!$C$30*'Assumptions'!$D$30+'Assumptions'!$C$26*'Assumptions'!$D$30+'Assumptions'!$D$26*9/12</x:f>
        <x:v>15.93</x:v>
      </x:c>
      <x:c r="I37" s="93" t="n">
        <x:f>H37*'Assumptions'!$D$27</x:f>
        <x:v>9542.07</x:v>
      </x:c>
      <x:c r="J37" s="92" t="n">
        <x:f>'Assumptions'!$B$28*'Assumptions'!$C$30*'Assumptions'!$D$30+'Assumptions'!$C$28*'Assumptions'!$D$30+'Assumptions'!$D$28*9/12</x:f>
        <x:v>2.4</x:v>
      </x:c>
      <x:c r="K37" s="93" t="n">
        <x:f>J37*'Assumptions'!$D$29</x:f>
        <x:v>2400</x:v>
      </x:c>
      <x:c r="L37" s="94" t="n">
        <x:f>'Assumptions'!$D$31</x:f>
        <x:v>0.03</x:v>
      </x:c>
      <x:c r="M37" s="93" t="n">
        <x:f>SUM(E37,G37,I37,K37)*L37</x:f>
        <x:v>1091.466</x:v>
      </x:c>
      <x:c r="N37" s="92" t="n">
        <x:f>SUM('Assumptions'!$D$22,'Assumptions'!$D$24,'Assumptions'!$D$26)/12</x:f>
        <x:v>8.5</x:v>
      </x:c>
      <x:c r="O37" s="93" t="n">
        <x:f>'Assumptions'!$D$32</x:f>
        <x:v>400</x:v>
      </x:c>
      <x:c r="P37" s="92" t="n">
        <x:f>'Assumptions'!$D$28/12</x:f>
        <x:v>0.16666666666666666</x:v>
      </x:c>
      <x:c r="Q37" s="93" t="n">
        <x:f>'Assumptions'!$D$33</x:f>
        <x:v>5000</x:v>
      </x:c>
      <x:c r="R37" s="93" t="n">
        <x:f>N37*O37+P37*Q37</x:f>
        <x:v>4233.333333333333</x:v>
      </x:c>
      <x:c r="S37" s="93" t="n">
        <x:f>SUM(E37,G37,I37,K37,M37,R37)</x:f>
        <x:v>41706.99933333333</x:v>
      </x:c>
      <x:c r="T37" s="93" t="n">
        <x:f>SUM(E37,G37,I37,K37)*'Assumptions'!$D$34+M37*'Assumptions'!$D$35+R37*'Assumptions'!$D$36</x:f>
        <x:v>14314.579733333332</x:v>
      </x:c>
      <x:c r="U37" s="93" t="n">
        <x:f>S37-T37</x:f>
        <x:v>27392.4196</x:v>
      </x:c>
    </x:row>
    <x:row r="38">
      <x:c r="A38" s="90" t="n">
        <x:v>47270</x:v>
      </x:c>
      <x:c r="B38" s="91" t="n">
        <x:v>3</x:v>
      </x:c>
      <x:c r="C38" s="91" t="n">
        <x:v>10</x:v>
      </x:c>
      <x:c r="D38" s="92" t="n">
        <x:f>'Assumptions'!$B$22*'Assumptions'!$C$30*'Assumptions'!$D$30+'Assumptions'!$C$22*'Assumptions'!$D$30+'Assumptions'!$D$22*10/12</x:f>
        <x:v>55.15</x:v>
      </x:c>
      <x:c r="E38" s="93" t="n">
        <x:f>D38*'Assumptions'!$D$23</x:f>
        <x:v>5459.849999999999</x:v>
      </x:c>
      <x:c r="F38" s="92" t="n">
        <x:f>'Assumptions'!$B$24*'Assumptions'!$C$30*'Assumptions'!$D$30+'Assumptions'!$C$24*'Assumptions'!$D$30+'Assumptions'!$D$24*10/12</x:f>
        <x:v>82.22</x:v>
      </x:c>
      <x:c r="G38" s="93" t="n">
        <x:f>F38*'Assumptions'!$D$25</x:f>
        <x:v>20472.78</x:v>
      </x:c>
      <x:c r="H38" s="92" t="n">
        <x:f>'Assumptions'!$B$26*'Assumptions'!$C$30*'Assumptions'!$D$30+'Assumptions'!$C$26*'Assumptions'!$D$30+'Assumptions'!$D$26*10/12</x:f>
        <x:v>16.93</x:v>
      </x:c>
      <x:c r="I38" s="93" t="n">
        <x:f>H38*'Assumptions'!$D$27</x:f>
        <x:v>10141.07</x:v>
      </x:c>
      <x:c r="J38" s="92" t="n">
        <x:f>'Assumptions'!$B$28*'Assumptions'!$C$30*'Assumptions'!$D$30+'Assumptions'!$C$28*'Assumptions'!$D$30+'Assumptions'!$D$28*10/12</x:f>
        <x:v>2.566666666666667</x:v>
      </x:c>
      <x:c r="K38" s="93" t="n">
        <x:f>J38*'Assumptions'!$D$29</x:f>
        <x:v>2566.666666666667</x:v>
      </x:c>
      <x:c r="L38" s="94" t="n">
        <x:f>'Assumptions'!$D$31</x:f>
        <x:v>0.03</x:v>
      </x:c>
      <x:c r="M38" s="93" t="n">
        <x:f>SUM(E38,G38,I38,K38)*L38</x:f>
        <x:v>1159.2109999999998</x:v>
      </x:c>
      <x:c r="N38" s="92" t="n">
        <x:f>SUM('Assumptions'!$D$22,'Assumptions'!$D$24,'Assumptions'!$D$26)/12</x:f>
        <x:v>8.5</x:v>
      </x:c>
      <x:c r="O38" s="93" t="n">
        <x:f>'Assumptions'!$D$32</x:f>
        <x:v>400</x:v>
      </x:c>
      <x:c r="P38" s="92" t="n">
        <x:f>'Assumptions'!$D$28/12</x:f>
        <x:v>0.16666666666666666</x:v>
      </x:c>
      <x:c r="Q38" s="93" t="n">
        <x:f>'Assumptions'!$D$33</x:f>
        <x:v>5000</x:v>
      </x:c>
      <x:c r="R38" s="93" t="n">
        <x:f>N38*O38+P38*Q38</x:f>
        <x:v>4233.333333333333</x:v>
      </x:c>
      <x:c r="S38" s="93" t="n">
        <x:f>SUM(E38,G38,I38,K38,M38,R38)</x:f>
        <x:v>44032.911</x:v>
      </x:c>
      <x:c r="T38" s="93" t="n">
        <x:f>SUM(E38,G38,I38,K38)*'Assumptions'!$D$34+M38*'Assumptions'!$D$35+R38*'Assumptions'!$D$36</x:f>
        <x:v>15019.127733333331</x:v>
      </x:c>
      <x:c r="U38" s="93" t="n">
        <x:f>S38-T38</x:f>
        <x:v>29013.78326666667</x:v>
      </x:c>
    </x:row>
    <x:row r="39">
      <x:c r="A39" s="90" t="n">
        <x:v>47300</x:v>
      </x:c>
      <x:c r="B39" s="91" t="n">
        <x:v>3</x:v>
      </x:c>
      <x:c r="C39" s="91" t="n">
        <x:v>11</x:v>
      </x:c>
      <x:c r="D39" s="92" t="n">
        <x:f>'Assumptions'!$B$22*'Assumptions'!$C$30*'Assumptions'!$D$30+'Assumptions'!$C$22*'Assumptions'!$D$30+'Assumptions'!$D$22*11/12</x:f>
        <x:v>57.65</x:v>
      </x:c>
      <x:c r="E39" s="93" t="n">
        <x:f>D39*'Assumptions'!$D$23</x:f>
        <x:v>5707.349999999999</x:v>
      </x:c>
      <x:c r="F39" s="92" t="n">
        <x:f>'Assumptions'!$B$24*'Assumptions'!$C$30*'Assumptions'!$D$30+'Assumptions'!$C$24*'Assumptions'!$D$30+'Assumptions'!$D$24*11/12</x:f>
        <x:v>87.22</x:v>
      </x:c>
      <x:c r="G39" s="93" t="n">
        <x:f>F39*'Assumptions'!$D$25</x:f>
        <x:v>21717.78</x:v>
      </x:c>
      <x:c r="H39" s="92" t="n">
        <x:f>'Assumptions'!$B$26*'Assumptions'!$C$30*'Assumptions'!$D$30+'Assumptions'!$C$26*'Assumptions'!$D$30+'Assumptions'!$D$26*11/12</x:f>
        <x:v>17.93</x:v>
      </x:c>
      <x:c r="I39" s="93" t="n">
        <x:f>H39*'Assumptions'!$D$27</x:f>
        <x:v>10740.07</x:v>
      </x:c>
      <x:c r="J39" s="92" t="n">
        <x:f>'Assumptions'!$B$28*'Assumptions'!$C$30*'Assumptions'!$D$30+'Assumptions'!$C$28*'Assumptions'!$D$30+'Assumptions'!$D$28*11/12</x:f>
        <x:v>2.7333333333333334</x:v>
      </x:c>
      <x:c r="K39" s="93" t="n">
        <x:f>J39*'Assumptions'!$D$29</x:f>
        <x:v>2733.3333333333335</x:v>
      </x:c>
      <x:c r="L39" s="94" t="n">
        <x:f>'Assumptions'!$D$31</x:f>
        <x:v>0.03</x:v>
      </x:c>
      <x:c r="M39" s="93" t="n">
        <x:f>SUM(E39,G39,I39,K39)*L39</x:f>
        <x:v>1226.956</x:v>
      </x:c>
      <x:c r="N39" s="92" t="n">
        <x:f>SUM('Assumptions'!$D$22,'Assumptions'!$D$24,'Assumptions'!$D$26)/12</x:f>
        <x:v>8.5</x:v>
      </x:c>
      <x:c r="O39" s="93" t="n">
        <x:f>'Assumptions'!$D$32</x:f>
        <x:v>400</x:v>
      </x:c>
      <x:c r="P39" s="92" t="n">
        <x:f>'Assumptions'!$D$28/12</x:f>
        <x:v>0.16666666666666666</x:v>
      </x:c>
      <x:c r="Q39" s="93" t="n">
        <x:f>'Assumptions'!$D$33</x:f>
        <x:v>5000</x:v>
      </x:c>
      <x:c r="R39" s="93" t="n">
        <x:f>N39*O39+P39*Q39</x:f>
        <x:v>4233.333333333333</x:v>
      </x:c>
      <x:c r="S39" s="93" t="n">
        <x:f>SUM(E39,G39,I39,K39,M39,R39)</x:f>
        <x:v>46358.82266666667</x:v>
      </x:c>
      <x:c r="T39" s="93" t="n">
        <x:f>SUM(E39,G39,I39,K39)*'Assumptions'!$D$34+M39*'Assumptions'!$D$35+R39*'Assumptions'!$D$36</x:f>
        <x:v>15723.675733333333</x:v>
      </x:c>
      <x:c r="U39" s="93" t="n">
        <x:f>S39-T39</x:f>
        <x:v>30635.146933333333</x:v>
      </x:c>
    </x:row>
    <x:row r="40">
      <x:c r="A40" s="90" t="n">
        <x:v>47331</x:v>
      </x:c>
      <x:c r="B40" s="91" t="n">
        <x:v>3</x:v>
      </x:c>
      <x:c r="C40" s="91" t="n">
        <x:v>12</x:v>
      </x:c>
      <x:c r="D40" s="92" t="n">
        <x:f>'Assumptions'!$B$22*'Assumptions'!$C$30*'Assumptions'!$D$30+'Assumptions'!$C$22*'Assumptions'!$D$30+'Assumptions'!$D$22*12/12</x:f>
        <x:v>60.15</x:v>
      </x:c>
      <x:c r="E40" s="93" t="n">
        <x:f>D40*'Assumptions'!$D$23</x:f>
        <x:v>5954.849999999999</x:v>
      </x:c>
      <x:c r="F40" s="92" t="n">
        <x:f>'Assumptions'!$B$24*'Assumptions'!$C$30*'Assumptions'!$D$30+'Assumptions'!$C$24*'Assumptions'!$D$30+'Assumptions'!$D$24*12/12</x:f>
        <x:v>92.22</x:v>
      </x:c>
      <x:c r="G40" s="93" t="n">
        <x:f>F40*'Assumptions'!$D$25</x:f>
        <x:v>22962.78</x:v>
      </x:c>
      <x:c r="H40" s="92" t="n">
        <x:f>'Assumptions'!$B$26*'Assumptions'!$C$30*'Assumptions'!$D$30+'Assumptions'!$C$26*'Assumptions'!$D$30+'Assumptions'!$D$26*12/12</x:f>
        <x:v>18.93</x:v>
      </x:c>
      <x:c r="I40" s="93" t="n">
        <x:f>H40*'Assumptions'!$D$27</x:f>
        <x:v>11339.07</x:v>
      </x:c>
      <x:c r="J40" s="92" t="n">
        <x:f>'Assumptions'!$B$28*'Assumptions'!$C$30*'Assumptions'!$D$30+'Assumptions'!$C$28*'Assumptions'!$D$30+'Assumptions'!$D$28*12/12</x:f>
        <x:v>2.9</x:v>
      </x:c>
      <x:c r="K40" s="93" t="n">
        <x:f>J40*'Assumptions'!$D$29</x:f>
        <x:v>2900</x:v>
      </x:c>
      <x:c r="L40" s="94" t="n">
        <x:f>'Assumptions'!$D$31</x:f>
        <x:v>0.03</x:v>
      </x:c>
      <x:c r="M40" s="93" t="n">
        <x:f>SUM(E40,G40,I40,K40)*L40</x:f>
        <x:v>1294.7009999999998</x:v>
      </x:c>
      <x:c r="N40" s="92" t="n">
        <x:f>SUM('Assumptions'!$D$22,'Assumptions'!$D$24,'Assumptions'!$D$26)/12</x:f>
        <x:v>8.5</x:v>
      </x:c>
      <x:c r="O40" s="93" t="n">
        <x:f>'Assumptions'!$D$32</x:f>
        <x:v>400</x:v>
      </x:c>
      <x:c r="P40" s="92" t="n">
        <x:f>'Assumptions'!$D$28/12</x:f>
        <x:v>0.16666666666666666</x:v>
      </x:c>
      <x:c r="Q40" s="93" t="n">
        <x:f>'Assumptions'!$D$33</x:f>
        <x:v>5000</x:v>
      </x:c>
      <x:c r="R40" s="93" t="n">
        <x:f>N40*O40+P40*Q40</x:f>
        <x:v>4233.333333333333</x:v>
      </x:c>
      <x:c r="S40" s="93" t="n">
        <x:f>SUM(E40,G40,I40,K40,M40,R40)</x:f>
        <x:v>48684.734333333334</x:v>
      </x:c>
      <x:c r="T40" s="93" t="n">
        <x:f>SUM(E40,G40,I40,K40)*'Assumptions'!$D$34+M40*'Assumptions'!$D$35+R40*'Assumptions'!$D$36</x:f>
        <x:v>16428.223733333332</x:v>
      </x:c>
      <x:c r="U40" s="93" t="n">
        <x:f>S40-T40</x:f>
        <x:v>32256.5106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6" hidden="0" customWidth="1"/>
    <x:col min="12" max="12" width="15" hidden="0" customWidth="1"/>
    <x:col min="13" max="13" width="13" hidden="0" customWidth="1"/>
    <x:col min="14" max="14" width="13" hidden="0" customWidth="1"/>
    <x:col min="15" max="15" width="13" hidden="0" customWidth="1"/>
    <x:col min="16" max="16" width="16" hidden="0" customWidth="1"/>
    <x:col min="17" max="17" width="12" hidden="0" customWidth="1"/>
    <x:col min="18" max="18" width="18" hidden="0" customWidth="1"/>
    <x:col min="19" max="19" width="16" hidden="0" customWidth="1"/>
    <x:col min="20" max="20" width="16" hidden="0" customWidth="1"/>
  </x:cols>
  <x:sheetData>
    <x:row r="1" ht="30" customHeight="1">
      <x:c r="A1" s="64" t="str">
        <x:v>Scenario View — Cohort Underwriting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</x:row>
    <x:row r="2" ht="24" customHeight="1">
      <x:c r="A2" s="66" t="str">
        <x:v>Each scenario changes gross acquisition and retention separately. Revenue is recomputed from cohorts, price, seats, usage and onboarding.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  <x:c r="P2" s="65"/>
      <x:c r="Q2" s="65"/>
      <x:c r="R2" s="65"/>
      <x:c r="S2" s="65"/>
      <x:c r="T2" s="65"/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  <x:c r="J3" s="67"/>
      <x:c r="K3" s="67"/>
      <x:c r="L3" s="67"/>
      <x:c r="M3" s="67"/>
      <x:c r="N3" s="67"/>
      <x:c r="O3" s="67"/>
      <x:c r="P3" s="67"/>
      <x:c r="Q3" s="67"/>
      <x:c r="R3" s="67"/>
      <x:c r="S3" s="67"/>
      <x:c r="T3" s="67"/>
    </x:row>
    <x:row r="4">
      <x:c r="A4" s="69" t="str">
        <x:v>Scenario</x:v>
      </x:c>
      <x:c r="B4" s="69" t="str">
        <x:v>Y1</x:v>
      </x:c>
      <x:c r="C4" s="69" t="str">
        <x:v>Y2</x:v>
      </x:c>
      <x:c r="D4" s="69" t="str">
        <x:v>Y3</x:v>
      </x:c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</x:row>
    <x:row r="5">
      <x:c r="A5" s="67" t="str">
        <x:v>Conservative</x:v>
      </x:c>
      <x:c r="B5" s="72" t="n">
        <x:f>T16</x:f>
        <x:v>79698.5</x:v>
      </x:c>
      <x:c r="C5" s="72" t="n">
        <x:f>T17</x:f>
        <x:v>264456.26666666666</x:v>
      </x:c>
      <x:c r="D5" s="72" t="n">
        <x:f>T18</x:f>
        <x:v>718043.1691</x:v>
      </x:c>
      <x:c r="E5" s="67"/>
      <x:c r="F5" s="67"/>
      <x:c r="G5" s="67"/>
      <x:c r="H5" s="67"/>
      <x:c r="I5" s="67"/>
      <x:c r="J5" s="67"/>
      <x:c r="K5" s="67"/>
      <x:c r="L5" s="67"/>
      <x:c r="M5" s="67"/>
      <x:c r="N5" s="67"/>
      <x:c r="O5" s="67"/>
      <x:c r="P5" s="67"/>
      <x:c r="Q5" s="67"/>
      <x:c r="R5" s="67"/>
      <x:c r="S5" s="67"/>
      <x:c r="T5" s="67"/>
    </x:row>
    <x:row r="6">
      <x:c r="A6" s="67" t="str">
        <x:v>Base</x:v>
      </x:c>
      <x:c r="B6" s="72" t="n">
        <x:f>T19</x:f>
        <x:v>113855</x:v>
      </x:c>
      <x:c r="C6" s="72" t="n">
        <x:f>T20</x:f>
        <x:v>360522.3333333334</x:v>
      </x:c>
      <x:c r="D6" s="72" t="n">
        <x:f>T21</x:f>
        <x:v>940218.642</x:v>
      </x:c>
      <x:c r="E6" s="67"/>
      <x:c r="F6" s="67"/>
      <x:c r="G6" s="67"/>
      <x:c r="H6" s="67"/>
      <x:c r="I6" s="67"/>
      <x:c r="J6" s="67"/>
      <x:c r="K6" s="67"/>
      <x:c r="L6" s="67"/>
      <x:c r="M6" s="67"/>
      <x:c r="N6" s="67"/>
      <x:c r="O6" s="67"/>
      <x:c r="P6" s="67"/>
      <x:c r="Q6" s="67"/>
      <x:c r="R6" s="67"/>
      <x:c r="S6" s="67"/>
      <x:c r="T6" s="67"/>
    </x:row>
    <x:row r="7">
      <x:c r="A7" s="67" t="str">
        <x:v>Upside</x:v>
      </x:c>
      <x:c r="B7" s="72" t="n">
        <x:f>T22</x:f>
        <x:v>148011.5</x:v>
      </x:c>
      <x:c r="C7" s="72" t="n">
        <x:f>T23</x:f>
        <x:v>489154.58999999997</x:v>
      </x:c>
      <x:c r="D7" s="72" t="n">
        <x:f>T24</x:f>
        <x:v>1329033.148764</x:v>
      </x:c>
      <x:c r="E7" s="67"/>
      <x:c r="F7" s="67"/>
      <x:c r="G7" s="67"/>
      <x:c r="H7" s="67"/>
      <x:c r="I7" s="67"/>
      <x:c r="J7" s="67"/>
      <x:c r="K7" s="67"/>
      <x:c r="L7" s="67"/>
      <x:c r="M7" s="67"/>
      <x:c r="N7" s="67"/>
      <x:c r="O7" s="67"/>
      <x:c r="P7" s="67"/>
      <x:c r="Q7" s="67"/>
      <x:c r="R7" s="67"/>
      <x:c r="S7" s="67"/>
      <x:c r="T7" s="67"/>
    </x:row>
    <x:row r="8">
      <x:c r="A8" s="67"/>
      <x:c r="B8" s="67"/>
      <x:c r="C8" s="67"/>
      <x:c r="D8" s="67"/>
      <x:c r="E8" s="67"/>
      <x:c r="F8" s="67"/>
      <x:c r="G8" s="67"/>
      <x:c r="H8" s="67"/>
      <x:c r="I8" s="67"/>
      <x:c r="J8" s="67"/>
      <x:c r="K8" s="67"/>
      <x:c r="L8" s="67"/>
      <x:c r="M8" s="67"/>
      <x:c r="N8" s="67"/>
      <x:c r="O8" s="67"/>
      <x:c r="P8" s="67"/>
      <x:c r="Q8" s="67"/>
      <x:c r="R8" s="67"/>
      <x:c r="S8" s="67"/>
      <x:c r="T8" s="67"/>
    </x:row>
    <x:row r="9">
      <x:c r="A9" s="67"/>
      <x:c r="B9" s="67"/>
      <x:c r="C9" s="67"/>
      <x:c r="D9" s="67"/>
      <x:c r="E9" s="67"/>
      <x:c r="F9" s="67"/>
      <x:c r="G9" s="67"/>
      <x:c r="H9" s="67"/>
      <x:c r="I9" s="67"/>
      <x:c r="J9" s="67"/>
      <x:c r="K9" s="67"/>
      <x:c r="L9" s="67"/>
      <x:c r="M9" s="67"/>
      <x:c r="N9" s="67"/>
      <x:c r="O9" s="67"/>
      <x:c r="P9" s="67"/>
      <x:c r="Q9" s="67"/>
      <x:c r="R9" s="67"/>
      <x:c r="S9" s="67"/>
      <x:c r="T9" s="67"/>
    </x:row>
    <x:row r="10">
      <x:c r="A10" s="69" t="str">
        <x:v>Scenario</x:v>
      </x:c>
      <x:c r="B10" s="69" t="str">
        <x:v>Y1 acquisition</x:v>
      </x:c>
      <x:c r="C10" s="69" t="str">
        <x:v>Y2 acquisition</x:v>
      </x:c>
      <x:c r="D10" s="69" t="str">
        <x:v>Y3 acquisition</x:v>
      </x:c>
      <x:c r="E10" s="69" t="str">
        <x:v>Individual retention</x:v>
      </x:c>
      <x:c r="F10" s="69" t="str">
        <x:v>B2B retention</x:v>
      </x:c>
      <x:c r="G10" s="69" t="str">
        <x:v>API retention</x:v>
      </x:c>
      <x:c r="H10" s="67"/>
      <x:c r="I10" s="67"/>
      <x:c r="J10" s="67"/>
      <x:c r="K10" s="67"/>
      <x:c r="L10" s="67"/>
      <x:c r="M10" s="67"/>
      <x:c r="N10" s="67"/>
      <x:c r="O10" s="67"/>
      <x:c r="P10" s="67"/>
      <x:c r="Q10" s="67"/>
      <x:c r="R10" s="67"/>
      <x:c r="S10" s="67"/>
      <x:c r="T10" s="67"/>
    </x:row>
    <x:row r="11">
      <x:c r="A11" s="67" t="str">
        <x:v>Conservative</x:v>
      </x:c>
      <x:c r="B11" s="95" t="n">
        <x:v>0.7</x:v>
      </x:c>
      <x:c r="C11" s="95" t="n">
        <x:v>0.8</x:v>
      </x:c>
      <x:c r="D11" s="95" t="n">
        <x:v>0.85</x:v>
      </x:c>
      <x:c r="E11" s="95" t="n">
        <x:v>0.5</x:v>
      </x:c>
      <x:c r="F11" s="95" t="n">
        <x:v>0.8</x:v>
      </x:c>
      <x:c r="G11" s="95" t="n">
        <x:v>0.6</x:v>
      </x:c>
      <x:c r="H11" s="67"/>
      <x:c r="I11" s="67"/>
      <x:c r="J11" s="67"/>
      <x:c r="K11" s="67"/>
      <x:c r="L11" s="67"/>
      <x:c r="M11" s="67"/>
      <x:c r="N11" s="67"/>
      <x:c r="O11" s="67"/>
      <x:c r="P11" s="67"/>
      <x:c r="Q11" s="67"/>
      <x:c r="R11" s="67"/>
      <x:c r="S11" s="67"/>
      <x:c r="T11" s="67"/>
    </x:row>
    <x:row r="12">
      <x:c r="A12" s="67" t="str">
        <x:v>Base</x:v>
      </x:c>
      <x:c r="B12" s="95" t="n">
        <x:v>1</x:v>
      </x:c>
      <x:c r="C12" s="95" t="n">
        <x:v>1</x:v>
      </x:c>
      <x:c r="D12" s="95" t="n">
        <x:v>1</x:v>
      </x:c>
      <x:c r="E12" s="95" t="n">
        <x:v>0.6</x:v>
      </x:c>
      <x:c r="F12" s="95" t="n">
        <x:v>0.9</x:v>
      </x:c>
      <x:c r="G12" s="95" t="n">
        <x:v>0.7</x:v>
      </x:c>
      <x:c r="H12" s="67"/>
      <x:c r="I12" s="67"/>
      <x:c r="J12" s="67"/>
      <x:c r="K12" s="67"/>
      <x:c r="L12" s="67"/>
      <x:c r="M12" s="67"/>
      <x:c r="N12" s="67"/>
      <x:c r="O12" s="67"/>
      <x:c r="P12" s="67"/>
      <x:c r="Q12" s="67"/>
      <x:c r="R12" s="67"/>
      <x:c r="S12" s="67"/>
      <x:c r="T12" s="67"/>
    </x:row>
    <x:row r="13">
      <x:c r="A13" s="67" t="str">
        <x:v>Upside</x:v>
      </x:c>
      <x:c r="B13" s="95" t="n">
        <x:v>1.3</x:v>
      </x:c>
      <x:c r="C13" s="95" t="n">
        <x:v>1.35</x:v>
      </x:c>
      <x:c r="D13" s="95" t="n">
        <x:v>1.4</x:v>
      </x:c>
      <x:c r="E13" s="95" t="n">
        <x:v>0.7</x:v>
      </x:c>
      <x:c r="F13" s="95" t="n">
        <x:v>0.93</x:v>
      </x:c>
      <x:c r="G13" s="95" t="n">
        <x:v>0.8</x:v>
      </x:c>
      <x:c r="H13" s="67"/>
      <x:c r="I13" s="67"/>
      <x:c r="J13" s="67"/>
      <x:c r="K13" s="67"/>
      <x:c r="L13" s="67"/>
      <x:c r="M13" s="67"/>
      <x:c r="N13" s="67"/>
      <x:c r="O13" s="67"/>
      <x:c r="P13" s="67"/>
      <x:c r="Q13" s="67"/>
      <x:c r="R13" s="67"/>
      <x:c r="S13" s="67"/>
      <x:c r="T13" s="67"/>
    </x:row>
    <x:row r="14">
      <x:c r="A14" s="67"/>
      <x:c r="B14" s="67"/>
      <x:c r="C14" s="67"/>
      <x:c r="D14" s="67"/>
      <x:c r="E14" s="67"/>
      <x:c r="F14" s="67"/>
      <x:c r="G14" s="67"/>
      <x:c r="H14" s="67"/>
      <x:c r="I14" s="67"/>
      <x:c r="J14" s="67"/>
      <x:c r="K14" s="67"/>
      <x:c r="L14" s="67"/>
      <x:c r="M14" s="67"/>
      <x:c r="N14" s="67"/>
      <x:c r="O14" s="67"/>
      <x:c r="P14" s="67"/>
      <x:c r="Q14" s="67"/>
      <x:c r="R14" s="67"/>
      <x:c r="S14" s="67"/>
      <x:c r="T14" s="67"/>
    </x:row>
    <x:row r="15" ht="38" customHeight="1">
      <x:c r="A15" s="89" t="str">
        <x:v>Scenario</x:v>
      </x:c>
      <x:c r="B15" s="89" t="str">
        <x:v>Year</x:v>
      </x:c>
      <x:c r="C15" s="89" t="str">
        <x:v>Acq. multiplier</x:v>
      </x:c>
      <x:c r="D15" s="89" t="str">
        <x:v>Ind. retention</x:v>
      </x:c>
      <x:c r="E15" s="89" t="str">
        <x:v>B2B retention</x:v>
      </x:c>
      <x:c r="F15" s="89" t="str">
        <x:v>API retention</x:v>
      </x:c>
      <x:c r="G15" s="89" t="str">
        <x:v>Individuals</x:v>
      </x:c>
      <x:c r="H15" s="89" t="str">
        <x:v>Team</x:v>
      </x:c>
      <x:c r="I15" s="89" t="str">
        <x:v>Enterprise</x:v>
      </x:c>
      <x:c r="J15" s="89" t="str">
        <x:v>API</x:v>
      </x:c>
      <x:c r="K15" s="89" t="str">
        <x:v>Core onboarding</x:v>
      </x:c>
      <x:c r="L15" s="89" t="str">
        <x:v>CORE TOTAL</x:v>
      </x:c>
      <x:c r="M15" s="89" t="str">
        <x:v>Starter</x:v>
      </x:c>
      <x:c r="N15" s="89" t="str">
        <x:v>Growth</x:v>
      </x:c>
      <x:c r="O15" s="89" t="str">
        <x:v>Scale</x:v>
      </x:c>
      <x:c r="P15" s="89" t="str">
        <x:v>Engage enterprise</x:v>
      </x:c>
      <x:c r="Q15" s="89" t="str">
        <x:v>Usage</x:v>
      </x:c>
      <x:c r="R15" s="89" t="str">
        <x:v>Engage onboarding</x:v>
      </x:c>
      <x:c r="S15" s="89" t="str">
        <x:v>ENGAGE TOTAL</x:v>
      </x:c>
      <x:c r="T15" s="89" t="str">
        <x:v>PORTFOLIO</x:v>
      </x:c>
    </x:row>
    <x:row r="16">
      <x:c r="A16" s="91" t="str">
        <x:f>$A$11</x:f>
        <x:v>Conservative</x:v>
      </x:c>
      <x:c r="B16" s="91" t="n">
        <x:f>1</x:f>
        <x:v>1</x:v>
      </x:c>
      <x:c r="C16" s="94" t="n">
        <x:f>$B$11</x:f>
        <x:v>0.7</x:v>
      </x:c>
      <x:c r="D16" s="94" t="n">
        <x:f>$E$11</x:f>
        <x:v>0.5</x:v>
      </x:c>
      <x:c r="E16" s="94" t="n">
        <x:f>$F$11</x:f>
        <x:v>0.8</x:v>
      </x:c>
      <x:c r="F16" s="94" t="n">
        <x:f>$G$11</x:f>
        <x:v>0.6</x:v>
      </x:c>
      <x:c r="G16" s="96" t="n">
        <x:f>'Assumptions'!$B$5*$B$11*6.5*'Assumptions'!$B$7*1</x:f>
        <x:v>7280</x:v>
      </x:c>
      <x:c r="H16" s="96" t="n">
        <x:f>'Assumptions'!$B$8*$B$11*6.5*'Assumptions'!$B$11*'Assumptions'!$B$10</x:f>
        <x:v>14560</x:v>
      </x:c>
      <x:c r="I16" s="96" t="n">
        <x:f>'Assumptions'!$B$12*$B$11*6.5/12*'Assumptions'!$B$13</x:f>
        <x:v>0</x:v>
      </x:c>
      <x:c r="J16" s="96" t="n">
        <x:f>'Assumptions'!$B$14*$B$11*6.5*'Assumptions'!$B$16*1</x:f>
        <x:v>2730</x:v>
      </x:c>
      <x:c r="K16" s="96" t="n">
        <x:f>SUM('Assumptions'!$B$8,'Assumptions'!$B$12)*$B$11*'Assumptions'!$B$17</x:f>
        <x:v>14000</x:v>
      </x:c>
      <x:c r="L16" s="96" t="n">
        <x:f>SUM(G16:K16)</x:f>
        <x:v>38570</x:v>
      </x:c>
      <x:c r="M16" s="96" t="n">
        <x:f>'Assumptions'!$B$22*$B$11*6.5*'Assumptions'!$B$23*1</x:f>
        <x:v>6756.75</x:v>
      </x:c>
      <x:c r="N16" s="96" t="n">
        <x:f>'Assumptions'!$B$24*$B$11*6.5*'Assumptions'!$B$25*1</x:f>
        <x:v>13595.399999999998</x:v>
      </x:c>
      <x:c r="O16" s="96" t="n">
        <x:f>'Assumptions'!$B$26*$B$11*6.5*'Assumptions'!$B$27*1</x:f>
        <x:v>8176.349999999999</x:v>
      </x:c>
      <x:c r="P16" s="96" t="n">
        <x:f>'Assumptions'!$B$28*$B$11*6.5*'Assumptions'!$B$29*1</x:f>
        <x:v>0</x:v>
      </x:c>
      <x:c r="Q16" s="96" t="n">
        <x:f>SUM(M16:P16)*'Assumptions'!$B$31</x:f>
        <x:v>0</x:v>
      </x:c>
      <x:c r="R16" s="96" t="n">
        <x:f>(SUM('Assumptions'!$B$22,'Assumptions'!$B$24,'Assumptions'!$B$26)*'Assumptions'!$B$32+'Assumptions'!$B$28*'Assumptions'!$B$33)*$B$11</x:f>
        <x:v>12600</x:v>
      </x:c>
      <x:c r="S16" s="96" t="n">
        <x:f>SUM(M16:R16)</x:f>
        <x:v>41128.5</x:v>
      </x:c>
      <x:c r="T16" s="96" t="n">
        <x:f>L16+S16</x:f>
        <x:v>79698.5</x:v>
      </x:c>
    </x:row>
    <x:row r="17">
      <x:c r="A17" s="91" t="str">
        <x:f>$A$11</x:f>
        <x:v>Conservative</x:v>
      </x:c>
      <x:c r="B17" s="91" t="n">
        <x:f>2</x:f>
        <x:v>2</x:v>
      </x:c>
      <x:c r="C17" s="94" t="n">
        <x:f>$C$11</x:f>
        <x:v>0.8</x:v>
      </x:c>
      <x:c r="D17" s="94" t="n">
        <x:f>$E$11</x:f>
        <x:v>0.5</x:v>
      </x:c>
      <x:c r="E17" s="94" t="n">
        <x:f>$F$11</x:f>
        <x:v>0.8</x:v>
      </x:c>
      <x:c r="F17" s="94" t="n">
        <x:f>$G$11</x:f>
        <x:v>0.6</x:v>
      </x:c>
      <x:c r="G17" s="96" t="n">
        <x:f>('Assumptions'!$B$5*$B$11*$E$11*12+'Assumptions'!$C$5*$C$11*6.5)*'Assumptions'!$C$7*1</x:f>
        <x:v>30960</x:v>
      </x:c>
      <x:c r="H17" s="96" t="n">
        <x:f>('Assumptions'!$B$8*$B$11*$F$11*12+'Assumptions'!$C$8*$C$11*6.5)*'Assumptions'!$C$11*'Assumptions'!$C$10</x:f>
        <x:v>57499.2</x:v>
      </x:c>
      <x:c r="I17" s="96" t="n">
        <x:f>('Assumptions'!$B$12*$B$11*$F$11+'Assumptions'!$C$12*$C$11*6.5/12)*'Assumptions'!$C$13</x:f>
        <x:v>8666.666666666666</x:v>
      </x:c>
      <x:c r="J17" s="96" t="n">
        <x:f>('Assumptions'!$B$14*$B$11*$G$11*12+'Assumptions'!$C$14*$C$11*6.5)*'Assumptions'!$C$16*1</x:f>
        <x:v>16236</x:v>
      </x:c>
      <x:c r="K17" s="96" t="n">
        <x:f>SUM('Assumptions'!$C$8,'Assumptions'!$C$12)*$C$11*'Assumptions'!$C$17</x:f>
        <x:v>22320</x:v>
      </x:c>
      <x:c r="L17" s="96" t="n">
        <x:f>SUM(G17:K17)</x:f>
        <x:v>135681.86666666667</x:v>
      </x:c>
      <x:c r="M17" s="96" t="n">
        <x:f>('Assumptions'!$B$22*$B$11*$F$11*12+'Assumptions'!$C$22*$C$11*6.5)*'Assumptions'!$C$23*1</x:f>
        <x:v>20275.2</x:v>
      </x:c>
      <x:c r="N17" s="96" t="n">
        <x:f>('Assumptions'!$B$24*$B$11*$F$11*12+'Assumptions'!$C$24*$C$11*6.5)*'Assumptions'!$C$25*1</x:f>
        <x:v>52449.35999999999</x:v>
      </x:c>
      <x:c r="O17" s="96" t="n">
        <x:f>('Assumptions'!$B$26*$B$11*$F$11*12+'Assumptions'!$C$26*$C$11*6.5)*'Assumptions'!$C$27*1</x:f>
        <x:v>27649.839999999997</x:v>
      </x:c>
      <x:c r="P17" s="96" t="n">
        <x:f>('Assumptions'!$B$28*$B$11*$F$11*12+'Assumptions'!$C$28*$C$11*6.5)*'Assumptions'!$C$29*1</x:f>
        <x:v>5200</x:v>
      </x:c>
      <x:c r="Q17" s="96" t="n">
        <x:f>SUM(M17:P17)*'Assumptions'!$C$31</x:f>
        <x:v>0</x:v>
      </x:c>
      <x:c r="R17" s="96" t="n">
        <x:f>(SUM('Assumptions'!$C$22,'Assumptions'!$C$24,'Assumptions'!$C$26)*'Assumptions'!$C$32+'Assumptions'!$C$28*'Assumptions'!$C$33)*$C$11</x:f>
        <x:v>23200</x:v>
      </x:c>
      <x:c r="S17" s="96" t="n">
        <x:f>SUM(M17:R17)</x:f>
        <x:v>128774.4</x:v>
      </x:c>
      <x:c r="T17" s="96" t="n">
        <x:f>L17+S17</x:f>
        <x:v>264456.26666666666</x:v>
      </x:c>
    </x:row>
    <x:row r="18">
      <x:c r="A18" s="91" t="str">
        <x:f>$A$11</x:f>
        <x:v>Conservative</x:v>
      </x:c>
      <x:c r="B18" s="91" t="n">
        <x:f>3</x:f>
        <x:v>3</x:v>
      </x:c>
      <x:c r="C18" s="94" t="n">
        <x:f>$D$11</x:f>
        <x:v>0.85</x:v>
      </x:c>
      <x:c r="D18" s="94" t="n">
        <x:f>$E$11</x:f>
        <x:v>0.5</x:v>
      </x:c>
      <x:c r="E18" s="94" t="n">
        <x:f>$F$11</x:f>
        <x:v>0.8</x:v>
      </x:c>
      <x:c r="F18" s="94" t="n">
        <x:f>$G$11</x:f>
        <x:v>0.6</x:v>
      </x:c>
      <x:c r="G18" s="96" t="n">
        <x:f>('Assumptions'!$B$5*$B$11*$E$11*$E$11*12+'Assumptions'!$C$5*$C$11*$E$11*12+'Assumptions'!$D$5*$D$11*6.5)*'Assumptions'!$D$7*1</x:f>
        <x:v>83450</x:v>
      </x:c>
      <x:c r="H18" s="96" t="n">
        <x:f>('Assumptions'!$B$8*$B$11*$F$11*$F$11*12+'Assumptions'!$C$8*$C$11*$F$11*12+'Assumptions'!$D$8*$D$11*6.5)*'Assumptions'!$D$11*'Assumptions'!$D$10</x:f>
        <x:v>160660.80000000002</x:v>
      </x:c>
      <x:c r="I18" s="96" t="n">
        <x:f>('Assumptions'!$B$12*$B$11*$F$11*$F$11+'Assumptions'!$C$12*$C$11*$F$11+'Assumptions'!$D$12*$D$11*6.5/12)*'Assumptions'!$D$13</x:f>
        <x:v>44467.50000000001</x:v>
      </x:c>
      <x:c r="J18" s="96" t="n">
        <x:f>('Assumptions'!$B$14*$B$11*$G$11*$G$11*12+'Assumptions'!$C$14*$C$11*$G$11*12+'Assumptions'!$D$14*$D$11*6.5)*'Assumptions'!$D$16*1</x:f>
        <x:v>60688.8</x:v>
      </x:c>
      <x:c r="K18" s="96" t="n">
        <x:f>SUM('Assumptions'!$D$8,'Assumptions'!$D$12)*$D$11*'Assumptions'!$D$17</x:f>
        <x:v>40162.5</x:v>
      </x:c>
      <x:c r="L18" s="96" t="n">
        <x:f>SUM(G18:K18)</x:f>
        <x:v>389429.60000000003</x:v>
      </x:c>
      <x:c r="M18" s="96" t="n">
        <x:f>('Assumptions'!$B$22*$B$11*$F$11*$F$11*12+'Assumptions'!$C$22*$C$11*$F$11*12+'Assumptions'!$D$22*$D$11*6.5)*'Assumptions'!$D$23*1</x:f>
        <x:v>39599.01</x:v>
      </x:c>
      <x:c r="N18" s="96" t="n">
        <x:f>('Assumptions'!$B$24*$B$11*$F$11*$F$11*12+'Assumptions'!$C$24*$C$11*$F$11*12+'Assumptions'!$D$24*$D$11*6.5)*'Assumptions'!$D$25*1</x:f>
        <x:v>146414.98799999998</x:v>
      </x:c>
      <x:c r="O18" s="96" t="n">
        <x:f>('Assumptions'!$B$26*$B$11*$F$11*$F$11*12+'Assumptions'!$C$26*$C$11*$F$11*12+'Assumptions'!$D$26*$D$11*6.5)*'Assumptions'!$D$27*1</x:f>
        <x:v>72375.97200000001</x:v>
      </x:c>
      <x:c r="P18" s="96" t="n">
        <x:f>('Assumptions'!$B$28*$B$11*$F$11*$F$11*12+'Assumptions'!$C$28*$C$11*$F$11*12+'Assumptions'!$D$28*$D$11*6.5)*'Assumptions'!$D$29*1</x:f>
        <x:v>18730</x:v>
      </x:c>
      <x:c r="Q18" s="96" t="n">
        <x:f>SUM(M18:P18)*'Assumptions'!$D$31</x:f>
        <x:v>8313.5991</x:v>
      </x:c>
      <x:c r="R18" s="96" t="n">
        <x:f>(SUM('Assumptions'!$D$22,'Assumptions'!$D$24,'Assumptions'!$D$26)*'Assumptions'!$D$32+'Assumptions'!$D$28*'Assumptions'!$D$33)*$D$11</x:f>
        <x:v>43180</x:v>
      </x:c>
      <x:c r="S18" s="96" t="n">
        <x:f>SUM(M18:R18)</x:f>
        <x:v>328613.56909999996</x:v>
      </x:c>
      <x:c r="T18" s="96" t="n">
        <x:f>L18+S18</x:f>
        <x:v>718043.1691</x:v>
      </x:c>
    </x:row>
    <x:row r="19">
      <x:c r="A19" s="91" t="str">
        <x:f>$A$12</x:f>
        <x:v>Base</x:v>
      </x:c>
      <x:c r="B19" s="91" t="n">
        <x:f>1</x:f>
        <x:v>1</x:v>
      </x:c>
      <x:c r="C19" s="94" t="n">
        <x:f>$B$12</x:f>
        <x:v>1</x:v>
      </x:c>
      <x:c r="D19" s="94" t="n">
        <x:f>$E$12</x:f>
        <x:v>0.6</x:v>
      </x:c>
      <x:c r="E19" s="94" t="n">
        <x:f>$F$12</x:f>
        <x:v>0.9</x:v>
      </x:c>
      <x:c r="F19" s="94" t="n">
        <x:f>$G$12</x:f>
        <x:v>0.7</x:v>
      </x:c>
      <x:c r="G19" s="96" t="n">
        <x:f>'Assumptions'!$B$5*$B$12*6.5*'Assumptions'!$B$7*1</x:f>
        <x:v>10400</x:v>
      </x:c>
      <x:c r="H19" s="96" t="n">
        <x:f>'Assumptions'!$B$8*$B$12*6.5*'Assumptions'!$B$11*'Assumptions'!$B$10</x:f>
        <x:v>20800</x:v>
      </x:c>
      <x:c r="I19" s="96" t="n">
        <x:f>'Assumptions'!$B$12*$B$12*6.5/12*'Assumptions'!$B$13</x:f>
        <x:v>0</x:v>
      </x:c>
      <x:c r="J19" s="96" t="n">
        <x:f>'Assumptions'!$B$14*$B$12*6.5*'Assumptions'!$B$16*1</x:f>
        <x:v>3900</x:v>
      </x:c>
      <x:c r="K19" s="96" t="n">
        <x:f>SUM('Assumptions'!$B$8,'Assumptions'!$B$12)*$B$12*'Assumptions'!$B$17</x:f>
        <x:v>20000</x:v>
      </x:c>
      <x:c r="L19" s="96" t="n">
        <x:f>SUM(G19:K19)</x:f>
        <x:v>55100</x:v>
      </x:c>
      <x:c r="M19" s="96" t="n">
        <x:f>'Assumptions'!$B$22*$B$12*6.5*'Assumptions'!$B$23*1</x:f>
        <x:v>9652.5</x:v>
      </x:c>
      <x:c r="N19" s="96" t="n">
        <x:f>'Assumptions'!$B$24*$B$12*6.5*'Assumptions'!$B$25*1</x:f>
        <x:v>19422</x:v>
      </x:c>
      <x:c r="O19" s="96" t="n">
        <x:f>'Assumptions'!$B$26*$B$12*6.5*'Assumptions'!$B$27*1</x:f>
        <x:v>11680.5</x:v>
      </x:c>
      <x:c r="P19" s="96" t="n">
        <x:f>'Assumptions'!$B$28*$B$12*6.5*'Assumptions'!$B$29*1</x:f>
        <x:v>0</x:v>
      </x:c>
      <x:c r="Q19" s="96" t="n">
        <x:f>SUM(M19:P19)*'Assumptions'!$B$31</x:f>
        <x:v>0</x:v>
      </x:c>
      <x:c r="R19" s="96" t="n">
        <x:f>(SUM('Assumptions'!$B$22,'Assumptions'!$B$24,'Assumptions'!$B$26)*'Assumptions'!$B$32+'Assumptions'!$B$28*'Assumptions'!$B$33)*$B$12</x:f>
        <x:v>18000</x:v>
      </x:c>
      <x:c r="S19" s="96" t="n">
        <x:f>SUM(M19:R19)</x:f>
        <x:v>58755</x:v>
      </x:c>
      <x:c r="T19" s="96" t="n">
        <x:f>L19+S19</x:f>
        <x:v>113855</x:v>
      </x:c>
    </x:row>
    <x:row r="20">
      <x:c r="A20" s="91" t="str">
        <x:f>$A$12</x:f>
        <x:v>Base</x:v>
      </x:c>
      <x:c r="B20" s="91" t="n">
        <x:f>2</x:f>
        <x:v>2</x:v>
      </x:c>
      <x:c r="C20" s="94" t="n">
        <x:f>$C$12</x:f>
        <x:v>1</x:v>
      </x:c>
      <x:c r="D20" s="94" t="n">
        <x:f>$E$12</x:f>
        <x:v>0.6</x:v>
      </x:c>
      <x:c r="E20" s="94" t="n">
        <x:f>$F$12</x:f>
        <x:v>0.9</x:v>
      </x:c>
      <x:c r="F20" s="94" t="n">
        <x:f>$G$12</x:f>
        <x:v>0.7</x:v>
      </x:c>
      <x:c r="G20" s="96" t="n">
        <x:f>('Assumptions'!$B$5*$B$12*$E$12*12+'Assumptions'!$C$5*$C$12*6.5)*'Assumptions'!$C$7*1</x:f>
        <x:v>42210</x:v>
      </x:c>
      <x:c r="H20" s="96" t="n">
        <x:f>('Assumptions'!$B$8*$B$12*$F$12*12+'Assumptions'!$C$8*$C$12*6.5)*'Assumptions'!$C$11*'Assumptions'!$C$10</x:f>
        <x:v>81378</x:v>
      </x:c>
      <x:c r="I20" s="96" t="n">
        <x:f>('Assumptions'!$B$12*$B$12*$F$12+'Assumptions'!$C$12*$C$12*6.5/12)*'Assumptions'!$C$13</x:f>
        <x:v>10833.333333333332</x:v>
      </x:c>
      <x:c r="J20" s="96" t="n">
        <x:f>('Assumptions'!$B$14*$B$12*$G$12*12+'Assumptions'!$C$14*$C$12*6.5)*'Assumptions'!$C$16*1</x:f>
        <x:v>22185</x:v>
      </x:c>
      <x:c r="K20" s="96" t="n">
        <x:f>SUM('Assumptions'!$C$8,'Assumptions'!$C$12)*$C$12*'Assumptions'!$C$17</x:f>
        <x:v>27900</x:v>
      </x:c>
      <x:c r="L20" s="96" t="n">
        <x:f>SUM(G20:K20)</x:f>
        <x:v>184506.33333333334</x:v>
      </x:c>
      <x:c r="M20" s="96" t="n">
        <x:f>('Assumptions'!$B$22*$B$12*$F$12*12+'Assumptions'!$C$22*$C$12*6.5)*'Assumptions'!$C$23*1</x:f>
        <x:v>28908</x:v>
      </x:c>
      <x:c r="N20" s="96" t="n">
        <x:f>('Assumptions'!$B$24*$B$12*$F$12*12+'Assumptions'!$C$24*$C$12*6.5)*'Assumptions'!$C$25*1</x:f>
        <x:v>72732.90000000001</x:v>
      </x:c>
      <x:c r="O20" s="96" t="n">
        <x:f>('Assumptions'!$B$26*$B$12*$F$12*12+'Assumptions'!$C$26*$C$12*6.5)*'Assumptions'!$C$27*1</x:f>
        <x:v>38875.100000000006</x:v>
      </x:c>
      <x:c r="P20" s="96" t="n">
        <x:f>('Assumptions'!$B$28*$B$12*$F$12*12+'Assumptions'!$C$28*$C$12*6.5)*'Assumptions'!$C$29*1</x:f>
        <x:v>6500</x:v>
      </x:c>
      <x:c r="Q20" s="96" t="n">
        <x:f>SUM(M20:P20)*'Assumptions'!$C$31</x:f>
        <x:v>0</x:v>
      </x:c>
      <x:c r="R20" s="96" t="n">
        <x:f>(SUM('Assumptions'!$C$22,'Assumptions'!$C$24,'Assumptions'!$C$26)*'Assumptions'!$C$32+'Assumptions'!$C$28*'Assumptions'!$C$33)*$C$12</x:f>
        <x:v>29000</x:v>
      </x:c>
      <x:c r="S20" s="96" t="n">
        <x:f>SUM(M20:R20)</x:f>
        <x:v>176016</x:v>
      </x:c>
      <x:c r="T20" s="96" t="n">
        <x:f>L20+S20</x:f>
        <x:v>360522.3333333334</x:v>
      </x:c>
    </x:row>
    <x:row r="21">
      <x:c r="A21" s="91" t="str">
        <x:f>$A$12</x:f>
        <x:v>Base</x:v>
      </x:c>
      <x:c r="B21" s="91" t="n">
        <x:f>3</x:f>
        <x:v>3</x:v>
      </x:c>
      <x:c r="C21" s="94" t="n">
        <x:f>$D$12</x:f>
        <x:v>1</x:v>
      </x:c>
      <x:c r="D21" s="94" t="n">
        <x:f>$E$12</x:f>
        <x:v>0.6</x:v>
      </x:c>
      <x:c r="E21" s="94" t="n">
        <x:f>$F$12</x:f>
        <x:v>0.9</x:v>
      </x:c>
      <x:c r="F21" s="94" t="n">
        <x:f>$G$12</x:f>
        <x:v>0.7</x:v>
      </x:c>
      <x:c r="G21" s="96" t="n">
        <x:f>('Assumptions'!$B$5*$B$12*$E$12*$E$12*12+'Assumptions'!$C$5*$C$12*$E$12*12+'Assumptions'!$D$5*$D$12*6.5)*'Assumptions'!$D$7*1</x:f>
        <x:v>109640</x:v>
      </x:c>
      <x:c r="H21" s="96" t="n">
        <x:f>('Assumptions'!$B$8*$B$12*$F$12*$F$12*12+'Assumptions'!$C$8*$C$12*$F$12*12+'Assumptions'!$D$8*$D$12*6.5)*'Assumptions'!$D$11*'Assumptions'!$D$10</x:f>
        <x:v>218016</x:v>
      </x:c>
      <x:c r="I21" s="96" t="n">
        <x:f>('Assumptions'!$B$12*$B$12*$F$12*$F$12+'Assumptions'!$C$12*$C$12*$F$12+'Assumptions'!$D$12*$D$12*6.5/12)*'Assumptions'!$D$13</x:f>
        <x:v>55550</x:v>
      </x:c>
      <x:c r="J21" s="96" t="n">
        <x:f>('Assumptions'!$B$14*$B$12*$G$12*$G$12*12+'Assumptions'!$C$14*$C$12*$G$12*12+'Assumptions'!$D$14*$D$12*6.5)*'Assumptions'!$D$16*1</x:f>
        <x:v>79056</x:v>
      </x:c>
      <x:c r="K21" s="96" t="n">
        <x:f>SUM('Assumptions'!$D$8,'Assumptions'!$D$12)*$D$12*'Assumptions'!$D$17</x:f>
        <x:v>47250</x:v>
      </x:c>
      <x:c r="L21" s="96" t="n">
        <x:f>SUM(G21:K21)</x:f>
        <x:v>509512</x:v>
      </x:c>
      <x:c r="M21" s="96" t="n">
        <x:f>('Assumptions'!$B$22*$B$12*$F$12*$F$12*12+'Assumptions'!$C$22*$C$12*$F$12*12+'Assumptions'!$D$22*$D$12*6.5)*'Assumptions'!$D$23*1</x:f>
        <x:v>55123.2</x:v>
      </x:c>
      <x:c r="N21" s="96" t="n">
        <x:f>('Assumptions'!$B$24*$B$12*$F$12*$F$12*12+'Assumptions'!$C$24*$C$12*$F$12*12+'Assumptions'!$D$24*$D$12*6.5)*'Assumptions'!$D$25*1</x:f>
        <x:v>193383.36</x:v>
      </x:c>
      <x:c r="O21" s="96" t="n">
        <x:f>('Assumptions'!$B$26*$B$12*$F$12*$F$12*12+'Assumptions'!$C$26*$C$12*$F$12*12+'Assumptions'!$D$26*$D$12*6.5)*'Assumptions'!$D$27*1</x:f>
        <x:v>96534.84</x:v>
      </x:c>
      <x:c r="P21" s="96" t="n">
        <x:f>('Assumptions'!$B$28*$B$12*$F$12*$F$12*12+'Assumptions'!$C$28*$C$12*$F$12*12+'Assumptions'!$D$28*$D$12*6.5)*'Assumptions'!$D$29*1</x:f>
        <x:v>23800</x:v>
      </x:c>
      <x:c r="Q21" s="96" t="n">
        <x:f>SUM(M21:P21)*'Assumptions'!$D$31</x:f>
        <x:v>11065.242</x:v>
      </x:c>
      <x:c r="R21" s="96" t="n">
        <x:f>(SUM('Assumptions'!$D$22,'Assumptions'!$D$24,'Assumptions'!$D$26)*'Assumptions'!$D$32+'Assumptions'!$D$28*'Assumptions'!$D$33)*$D$12</x:f>
        <x:v>50800</x:v>
      </x:c>
      <x:c r="S21" s="96" t="n">
        <x:f>SUM(M21:R21)</x:f>
        <x:v>430706.64200000005</x:v>
      </x:c>
      <x:c r="T21" s="96" t="n">
        <x:f>L21+S21</x:f>
        <x:v>940218.642</x:v>
      </x:c>
    </x:row>
    <x:row r="22">
      <x:c r="A22" s="91" t="str">
        <x:f>$A$13</x:f>
        <x:v>Upside</x:v>
      </x:c>
      <x:c r="B22" s="91" t="n">
        <x:f>1</x:f>
        <x:v>1</x:v>
      </x:c>
      <x:c r="C22" s="94" t="n">
        <x:f>$B$13</x:f>
        <x:v>1.3</x:v>
      </x:c>
      <x:c r="D22" s="94" t="n">
        <x:f>$E$13</x:f>
        <x:v>0.7</x:v>
      </x:c>
      <x:c r="E22" s="94" t="n">
        <x:f>$F$13</x:f>
        <x:v>0.93</x:v>
      </x:c>
      <x:c r="F22" s="94" t="n">
        <x:f>$G$13</x:f>
        <x:v>0.8</x:v>
      </x:c>
      <x:c r="G22" s="96" t="n">
        <x:f>'Assumptions'!$B$5*$B$13*6.5*'Assumptions'!$B$7*1</x:f>
        <x:v>13520</x:v>
      </x:c>
      <x:c r="H22" s="96" t="n">
        <x:f>'Assumptions'!$B$8*$B$13*6.5*'Assumptions'!$B$11*'Assumptions'!$B$10</x:f>
        <x:v>27040</x:v>
      </x:c>
      <x:c r="I22" s="96" t="n">
        <x:f>'Assumptions'!$B$12*$B$13*6.5/12*'Assumptions'!$B$13</x:f>
        <x:v>0</x:v>
      </x:c>
      <x:c r="J22" s="96" t="n">
        <x:f>'Assumptions'!$B$14*$B$13*6.5*'Assumptions'!$B$16*1</x:f>
        <x:v>5070</x:v>
      </x:c>
      <x:c r="K22" s="96" t="n">
        <x:f>SUM('Assumptions'!$B$8,'Assumptions'!$B$12)*$B$13*'Assumptions'!$B$17</x:f>
        <x:v>26000</x:v>
      </x:c>
      <x:c r="L22" s="96" t="n">
        <x:f>SUM(G22:K22)</x:f>
        <x:v>71630</x:v>
      </x:c>
      <x:c r="M22" s="96" t="n">
        <x:f>'Assumptions'!$B$22*$B$13*6.5*'Assumptions'!$B$23*1</x:f>
        <x:v>12548.25</x:v>
      </x:c>
      <x:c r="N22" s="96" t="n">
        <x:f>'Assumptions'!$B$24*$B$13*6.5*'Assumptions'!$B$25*1</x:f>
        <x:v>25248.600000000002</x:v>
      </x:c>
      <x:c r="O22" s="96" t="n">
        <x:f>'Assumptions'!$B$26*$B$13*6.5*'Assumptions'!$B$27*1</x:f>
        <x:v>15184.650000000001</x:v>
      </x:c>
      <x:c r="P22" s="96" t="n">
        <x:f>'Assumptions'!$B$28*$B$13*6.5*'Assumptions'!$B$29*1</x:f>
        <x:v>0</x:v>
      </x:c>
      <x:c r="Q22" s="96" t="n">
        <x:f>SUM(M22:P22)*'Assumptions'!$B$31</x:f>
        <x:v>0</x:v>
      </x:c>
      <x:c r="R22" s="96" t="n">
        <x:f>(SUM('Assumptions'!$B$22,'Assumptions'!$B$24,'Assumptions'!$B$26)*'Assumptions'!$B$32+'Assumptions'!$B$28*'Assumptions'!$B$33)*$B$13</x:f>
        <x:v>23400</x:v>
      </x:c>
      <x:c r="S22" s="96" t="n">
        <x:f>SUM(M22:R22)</x:f>
        <x:v>76381.5</x:v>
      </x:c>
      <x:c r="T22" s="96" t="n">
        <x:f>L22+S22</x:f>
        <x:v>148011.5</x:v>
      </x:c>
    </x:row>
    <x:row r="23">
      <x:c r="A23" s="91" t="str">
        <x:f>$A$13</x:f>
        <x:v>Upside</x:v>
      </x:c>
      <x:c r="B23" s="91" t="n">
        <x:f>2</x:f>
        <x:v>2</x:v>
      </x:c>
      <x:c r="C23" s="94" t="n">
        <x:f>$C$13</x:f>
        <x:v>1.35</x:v>
      </x:c>
      <x:c r="D23" s="94" t="n">
        <x:f>$E$13</x:f>
        <x:v>0.7</x:v>
      </x:c>
      <x:c r="E23" s="94" t="n">
        <x:f>$F$13</x:f>
        <x:v>0.93</x:v>
      </x:c>
      <x:c r="F23" s="94" t="n">
        <x:f>$G$13</x:f>
        <x:v>0.8</x:v>
      </x:c>
      <x:c r="G23" s="96" t="n">
        <x:f>('Assumptions'!$B$5*$B$13*$E$13*12+'Assumptions'!$C$5*$C$13*6.5)*'Assumptions'!$C$7*1</x:f>
        <x:v>59143.5</x:v>
      </x:c>
      <x:c r="H23" s="96" t="n">
        <x:f>('Assumptions'!$B$8*$B$13*$F$13*12+'Assumptions'!$C$8*$C$13*6.5)*'Assumptions'!$C$11*'Assumptions'!$C$10</x:f>
        <x:v>109575.18</x:v>
      </x:c>
      <x:c r="I23" s="96" t="n">
        <x:f>('Assumptions'!$B$12*$B$13*$F$13+'Assumptions'!$C$12*$C$13*6.5/12)*'Assumptions'!$C$13</x:f>
        <x:v>14625.000000000002</x:v>
      </x:c>
      <x:c r="J23" s="96" t="n">
        <x:f>('Assumptions'!$B$14*$B$13*$G$13*12+'Assumptions'!$C$14*$C$13*6.5)*'Assumptions'!$C$16*1</x:f>
        <x:v>30975.75</x:v>
      </x:c>
      <x:c r="K23" s="96" t="n">
        <x:f>SUM('Assumptions'!$C$8,'Assumptions'!$C$12)*$C$13*'Assumptions'!$C$17</x:f>
        <x:v>37665</x:v>
      </x:c>
      <x:c r="L23" s="96" t="n">
        <x:f>SUM(G23:K23)</x:f>
        <x:v>251984.43</x:v>
      </x:c>
      <x:c r="M23" s="96" t="n">
        <x:f>('Assumptions'!$B$22*$B$13*$F$13*12+'Assumptions'!$C$22*$C$13*6.5)*'Assumptions'!$C$23*1</x:f>
        <x:v>38918.88</x:v>
      </x:c>
      <x:c r="N23" s="96" t="n">
        <x:f>('Assumptions'!$B$24*$B$13*$F$13*12+'Assumptions'!$C$24*$C$13*6.5)*'Assumptions'!$C$25*1</x:f>
        <x:v>97974.279</x:v>
      </x:c>
      <x:c r="O23" s="96" t="n">
        <x:f>('Assumptions'!$B$26*$B$13*$F$13*12+'Assumptions'!$C$26*$C$13*6.5)*'Assumptions'!$C$27*1</x:f>
        <x:v>52352.001000000004</x:v>
      </x:c>
      <x:c r="P23" s="96" t="n">
        <x:f>('Assumptions'!$B$28*$B$13*$F$13*12+'Assumptions'!$C$28*$C$13*6.5)*'Assumptions'!$C$29*1</x:f>
        <x:v>8775</x:v>
      </x:c>
      <x:c r="Q23" s="96" t="n">
        <x:f>SUM(M23:P23)*'Assumptions'!$C$31</x:f>
        <x:v>0</x:v>
      </x:c>
      <x:c r="R23" s="96" t="n">
        <x:f>(SUM('Assumptions'!$C$22,'Assumptions'!$C$24,'Assumptions'!$C$26)*'Assumptions'!$C$32+'Assumptions'!$C$28*'Assumptions'!$C$33)*$C$13</x:f>
        <x:v>39150</x:v>
      </x:c>
      <x:c r="S23" s="96" t="n">
        <x:f>SUM(M23:R23)</x:f>
        <x:v>237170.15999999997</x:v>
      </x:c>
      <x:c r="T23" s="96" t="n">
        <x:f>L23+S23</x:f>
        <x:v>489154.58999999997</x:v>
      </x:c>
    </x:row>
    <x:row r="24">
      <x:c r="A24" s="91" t="str">
        <x:f>$A$13</x:f>
        <x:v>Upside</x:v>
      </x:c>
      <x:c r="B24" s="91" t="n">
        <x:f>3</x:f>
        <x:v>3</x:v>
      </x:c>
      <x:c r="C24" s="94" t="n">
        <x:f>$D$13</x:f>
        <x:v>1.4</x:v>
      </x:c>
      <x:c r="D24" s="94" t="n">
        <x:f>$E$13</x:f>
        <x:v>0.7</x:v>
      </x:c>
      <x:c r="E24" s="94" t="n">
        <x:f>$F$13</x:f>
        <x:v>0.93</x:v>
      </x:c>
      <x:c r="F24" s="94" t="n">
        <x:f>$G$13</x:f>
        <x:v>0.8</x:v>
      </x:c>
      <x:c r="G24" s="96" t="n">
        <x:f>('Assumptions'!$B$5*$B$13*$E$13*$E$13*12+'Assumptions'!$C$5*$C$13*$E$13*12+'Assumptions'!$D$5*$D$13*6.5)*'Assumptions'!$D$7*1</x:f>
        <x:v>162988</x:v>
      </x:c>
      <x:c r="H24" s="96" t="n">
        <x:f>('Assumptions'!$B$8*$B$13*$F$13*$F$13*12+'Assumptions'!$C$8*$C$13*$F$13*12+'Assumptions'!$D$8*$D$13*6.5)*'Assumptions'!$D$11*'Assumptions'!$D$10</x:f>
        <x:v>304278.912</x:v>
      </x:c>
      <x:c r="I24" s="96" t="n">
        <x:f>('Assumptions'!$B$12*$B$13*$F$13*$F$13+'Assumptions'!$C$12*$C$13*$F$13+'Assumptions'!$D$12*$D$13*6.5/12)*'Assumptions'!$D$13</x:f>
        <x:v>77671</x:v>
      </x:c>
      <x:c r="J24" s="96" t="n">
        <x:f>('Assumptions'!$B$14*$B$13*$G$13*$G$13*12+'Assumptions'!$C$14*$C$13*$G$13*12+'Assumptions'!$D$14*$D$13*6.5)*'Assumptions'!$D$16*1</x:f>
        <x:v>116380.8</x:v>
      </x:c>
      <x:c r="K24" s="96" t="n">
        <x:f>SUM('Assumptions'!$D$8,'Assumptions'!$D$12)*$D$13*'Assumptions'!$D$17</x:f>
        <x:v>66149.99999999999</x:v>
      </x:c>
      <x:c r="L24" s="96" t="n">
        <x:f>SUM(G24:K24)</x:f>
        <x:v>727468.712</x:v>
      </x:c>
      <x:c r="M24" s="96" t="n">
        <x:f>('Assumptions'!$B$22*$B$13*$F$13*$F$13*12+'Assumptions'!$C$22*$C$13*$F$13*12+'Assumptions'!$D$22*$D$13*6.5)*'Assumptions'!$D$23*1</x:f>
        <x:v>76893.95340000001</x:v>
      </x:c>
      <x:c r="N24" s="96" t="n">
        <x:f>('Assumptions'!$B$24*$B$13*$F$13*$F$13*12+'Assumptions'!$C$24*$C$13*$F$13*12+'Assumptions'!$D$24*$D$13*6.5)*'Assumptions'!$D$25*1</x:f>
        <x:v>270055.26071999996</x:v>
      </x:c>
      <x:c r="O24" s="96" t="n">
        <x:f>('Assumptions'!$B$26*$B$13*$F$13*$F$13*12+'Assumptions'!$C$26*$C$13*$F$13*12+'Assumptions'!$D$26*$D$13*6.5)*'Assumptions'!$D$27*1</x:f>
        <x:v>134779.38468000002</x:v>
      </x:c>
      <x:c r="P24" s="96" t="n">
        <x:f>('Assumptions'!$B$28*$B$13*$F$13*$F$13*12+'Assumptions'!$C$28*$C$13*$F$13*12+'Assumptions'!$D$28*$D$13*6.5)*'Assumptions'!$D$29*1</x:f>
        <x:v>33266</x:v>
      </x:c>
      <x:c r="Q24" s="96" t="n">
        <x:f>SUM(M24:P24)*'Assumptions'!$D$31</x:f>
        <x:v>15449.837963999998</x:v>
      </x:c>
      <x:c r="R24" s="96" t="n">
        <x:f>(SUM('Assumptions'!$D$22,'Assumptions'!$D$24,'Assumptions'!$D$26)*'Assumptions'!$D$32+'Assumptions'!$D$28*'Assumptions'!$D$33)*$D$13</x:f>
        <x:v>71120</x:v>
      </x:c>
      <x:c r="S24" s="96" t="n">
        <x:f>SUM(M24:R24)</x:f>
        <x:v>601564.436764</x:v>
      </x:c>
      <x:c r="T24" s="96" t="n">
        <x:f>L24+S24</x:f>
        <x:v>1329033.148764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38" hidden="0" customWidth="1"/>
  </x:cols>
  <x:sheetData>
    <x:row r="1" ht="30" customHeight="1">
      <x:c r="A1" s="64" t="str">
        <x:v>Model Checks</x:v>
      </x:c>
      <x:c r="B1" s="65"/>
      <x:c r="C1" s="65"/>
      <x:c r="D1" s="65"/>
      <x:c r="E1" s="65"/>
      <x:c r="F1" s="65"/>
    </x:row>
    <x:row r="2" ht="24" customHeight="1">
      <x:c r="A2" s="66" t="str">
        <x:v>PASS means the workbook reconciles mechanically; market assumptions remain subject to paid-cohort evidence.</x:v>
      </x:c>
      <x:c r="B2" s="65"/>
      <x:c r="C2" s="65"/>
      <x:c r="D2" s="65"/>
      <x:c r="E2" s="65"/>
      <x:c r="F2" s="65"/>
    </x:row>
    <x:row r="3">
      <x:c r="A3" s="67"/>
      <x:c r="B3" s="67"/>
      <x:c r="C3" s="67"/>
      <x:c r="D3" s="67"/>
      <x:c r="E3" s="67"/>
      <x:c r="F3" s="67"/>
    </x:row>
    <x:row r="4">
      <x:c r="A4" s="69" t="str">
        <x:v>Check</x:v>
      </x:c>
      <x:c r="B4" s="69" t="str">
        <x:v>Actual</x:v>
      </x:c>
      <x:c r="C4" s="69" t="str">
        <x:v>Expected</x:v>
      </x:c>
      <x:c r="D4" s="69" t="str">
        <x:v>Delta</x:v>
      </x:c>
      <x:c r="E4" s="69" t="str">
        <x:v>Status</x:v>
      </x:c>
      <x:c r="F4" s="69" t="str">
        <x:v>Where to fix</x:v>
      </x:c>
    </x:row>
    <x:row r="5">
      <x:c r="A5" s="70" t="str">
        <x:v>Portfolio equals Core + Engage — Y1</x:v>
      </x:c>
      <x:c r="B5" s="97" t="n">
        <x:f>'Executive Summary'!B20</x:f>
        <x:v>113855</x:v>
      </x:c>
      <x:c r="C5" s="97" t="n">
        <x:f>'Executive Summary'!B10+'Executive Summary'!B18</x:f>
        <x:v>113855</x:v>
      </x:c>
      <x:c r="D5" s="97" t="n">
        <x:f>B5-C5</x:f>
        <x:v>0</x:v>
      </x:c>
      <x:c r="E5" s="70" t="str">
        <x:f>IF(ABS(D5)&lt;0.01,"PASS","FAIL")</x:f>
        <x:v>PASS</x:v>
      </x:c>
      <x:c r="F5" s="70" t="str">
        <x:v>Executive Summary / monthly tabs</x:v>
      </x:c>
    </x:row>
    <x:row r="6">
      <x:c r="A6" s="70" t="str">
        <x:v>Portfolio equals Core + Engage — Y2</x:v>
      </x:c>
      <x:c r="B6" s="97" t="n">
        <x:f>'Executive Summary'!C20</x:f>
        <x:v>360522.3333333333</x:v>
      </x:c>
      <x:c r="C6" s="97" t="n">
        <x:f>'Executive Summary'!C10+'Executive Summary'!C18</x:f>
        <x:v>360522.3333333333</x:v>
      </x:c>
      <x:c r="D6" s="97" t="n">
        <x:f>B6-C6</x:f>
        <x:v>0</x:v>
      </x:c>
      <x:c r="E6" s="70" t="str">
        <x:f>IF(ABS(D6)&lt;0.01,"PASS","FAIL")</x:f>
        <x:v>PASS</x:v>
      </x:c>
      <x:c r="F6" s="70" t="str">
        <x:v>Executive Summary / monthly tabs</x:v>
      </x:c>
    </x:row>
    <x:row r="7">
      <x:c r="A7" s="70" t="str">
        <x:v>Portfolio equals Core + Engage — Y3</x:v>
      </x:c>
      <x:c r="B7" s="97" t="n">
        <x:f>'Executive Summary'!D20</x:f>
        <x:v>940218.642</x:v>
      </x:c>
      <x:c r="C7" s="97" t="n">
        <x:f>'Executive Summary'!D10+'Executive Summary'!D18</x:f>
        <x:v>940218.642</x:v>
      </x:c>
      <x:c r="D7" s="97" t="n">
        <x:f>B7-C7</x:f>
        <x:v>0</x:v>
      </x:c>
      <x:c r="E7" s="70" t="str">
        <x:f>IF(ABS(D7)&lt;0.01,"PASS","FAIL")</x:f>
        <x:v>PASS</x:v>
      </x:c>
      <x:c r="F7" s="70" t="str">
        <x:v>Executive Summary / monthly tabs</x:v>
      </x:c>
    </x:row>
    <x:row r="8">
      <x:c r="A8" s="70" t="str">
        <x:v>Y2 team ending = Y1 retained + Y2 new</x:v>
      </x:c>
      <x:c r="B8" s="97" t="n">
        <x:f>'Cohort Bridge'!J6</x:f>
        <x:v>48</x:v>
      </x:c>
      <x:c r="C8" s="97" t="n">
        <x:f>'Cohort Bridge'!D6+'Cohort Bridge'!F6</x:f>
        <x:v>48</x:v>
      </x:c>
      <x:c r="D8" s="97" t="n">
        <x:f>B8-C8</x:f>
        <x:v>0</x:v>
      </x:c>
      <x:c r="E8" s="70" t="str">
        <x:f>IF(ABS(D8)&lt;0.01,"PASS","FAIL")</x:f>
        <x:v>PASS</x:v>
      </x:c>
      <x:c r="F8" s="70" t="str">
        <x:v>Cohort Bridge / Assumptions</x:v>
      </x:c>
    </x:row>
    <x:row r="9">
      <x:c r="A9" s="70" t="str">
        <x:v>Y3 team ending = Y1 retained twice + Y2 retained + Y3 new</x:v>
      </x:c>
      <x:c r="B9" s="97" t="n">
        <x:f>'Cohort Bridge'!K6</x:f>
        <x:v>103.2</x:v>
      </x:c>
      <x:c r="C9" s="97" t="n">
        <x:f>'Cohort Bridge'!E6+'Cohort Bridge'!G6+'Cohort Bridge'!H6</x:f>
        <x:v>103.2</x:v>
      </x:c>
      <x:c r="D9" s="97" t="n">
        <x:f>B9-C9</x:f>
        <x:v>0</x:v>
      </x:c>
      <x:c r="E9" s="70" t="str">
        <x:f>IF(ABS(D9)&lt;0.01,"PASS","FAIL")</x:f>
        <x:v>PASS</x:v>
      </x:c>
      <x:c r="F9" s="70" t="str">
        <x:v>Cohort Bridge / Assumptions</x:v>
      </x:c>
    </x:row>
    <x:row r="10">
      <x:c r="A10" s="70" t="str">
        <x:v>Exit ARR equals ending MRR × 12 — Y3</x:v>
      </x:c>
      <x:c r="B10" s="97" t="n">
        <x:f>'Executive Summary'!D22</x:f>
        <x:v>1199728.812</x:v>
      </x:c>
      <x:c r="C10" s="97" t="n">
        <x:f>'Executive Summary'!D21*12</x:f>
        <x:v>1199728.812</x:v>
      </x:c>
      <x:c r="D10" s="97" t="n">
        <x:f>B10-C10</x:f>
        <x:v>0</x:v>
      </x:c>
      <x:c r="E10" s="70" t="str">
        <x:f>IF(ABS(D10)&lt;0.01,"PASS","FAIL")</x:f>
        <x:v>PASS</x:v>
      </x:c>
      <x:c r="F10" s="70" t="str">
        <x:v>Executive Summary</x:v>
      </x:c>
    </x:row>
    <x:row r="11">
      <x:c r="A11" s="70" t="str">
        <x:v>Scenario ordering — Y3</x:v>
      </x:c>
      <x:c r="B11" s="97" t="n">
        <x:f>'Scenarios'!D7-'Scenarios'!D6</x:f>
        <x:v>388814.50676400005</x:v>
      </x:c>
      <x:c r="C11" s="97" t="n">
        <x:f>'Scenarios'!D6-'Scenarios'!D5</x:f>
        <x:v>222175.47289999994</x:v>
      </x:c>
      <x:c r="D11" s="97" t="n">
        <x:f>MIN(B11,C11)</x:f>
        <x:v>222175.47289999994</x:v>
      </x:c>
      <x:c r="E11" s="70" t="str">
        <x:f>IF(D11&gt;0,"PASS","FAIL")</x:f>
        <x:v>PASS</x:v>
      </x:c>
      <x:c r="F11" s="70" t="str">
        <x:v>Scenarios</x:v>
      </x:c>
    </x:row>
  </x:sheetData>
  <x:mergeCells>
    <x:mergeCell ref="A1:F1"/>
    <x:mergeCell ref="A2:F2"/>
  </x:mergeCells>
  <x:conditionalFormatting sqref="E5:E11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20" hidden="0" customWidth="1"/>
    <x:col min="5" max="5" width="24" hidden="0" customWidth="1"/>
    <x:col min="6" max="6" width="62" hidden="0" customWidth="1"/>
    <x:col min="7" max="7" width="20" hidden="0" customWidth="1"/>
    <x:col min="8" max="8" width="46" hidden="0" customWidth="1"/>
    <x:col min="9" max="9" width="38" hidden="0" customWidth="1"/>
  </x:cols>
  <x:sheetData>
    <x:row r="1" ht="30" customHeight="1">
      <x:c r="A1" s="64" t="str">
        <x:v>Sources and Benchmark Log</x:v>
      </x:c>
      <x:c r="B1" s="65"/>
      <x:c r="C1" s="65"/>
      <x:c r="D1" s="65"/>
      <x:c r="E1" s="65"/>
      <x:c r="F1" s="65"/>
      <x:c r="G1" s="65"/>
      <x:c r="H1" s="65"/>
      <x:c r="I1" s="65"/>
    </x:row>
    <x:row r="2" ht="24" customHeight="1">
      <x:c r="A2" s="66" t="str">
        <x:v>External benchmarks anchor retention, price and margin assumptions; they do not prove MIMAR customer demand.</x:v>
      </x:c>
      <x:c r="B2" s="65"/>
      <x:c r="C2" s="65"/>
      <x:c r="D2" s="65"/>
      <x:c r="E2" s="65"/>
      <x:c r="F2" s="65"/>
      <x:c r="G2" s="65"/>
      <x:c r="H2" s="65"/>
      <x:c r="I2" s="65"/>
    </x:row>
    <x:row r="3">
      <x:c r="A3" s="67"/>
      <x:c r="B3" s="67"/>
      <x:c r="C3" s="67"/>
      <x:c r="D3" s="67"/>
      <x:c r="E3" s="67"/>
      <x:c r="F3" s="67"/>
      <x:c r="G3" s="67"/>
      <x:c r="H3" s="67"/>
      <x:c r="I3" s="67"/>
    </x:row>
    <x:row r="4">
      <x:c r="A4" s="69" t="str">
        <x:v>Item</x:v>
      </x:c>
      <x:c r="B4" s="69" t="str">
        <x:v>Finding used</x:v>
      </x:c>
      <x:c r="C4" s="69" t="str">
        <x:v>As of</x:v>
      </x:c>
      <x:c r="D4" s="69" t="str">
        <x:v>Source type</x:v>
      </x:c>
      <x:c r="E4" s="69" t="str">
        <x:v>Source</x:v>
      </x:c>
      <x:c r="F4" s="69" t="str">
        <x:v>URL</x:v>
      </x:c>
      <x:c r="G4" s="69" t="str">
        <x:v>Applies to</x:v>
      </x:c>
      <x:c r="H4" s="69" t="str">
        <x:v>Model implication</x:v>
      </x:c>
      <x:c r="I4" s="69" t="str">
        <x:v>Caveat</x:v>
      </x:c>
    </x:row>
    <x:row r="5">
      <x:c r="A5" s="98" t="str">
        <x:v>MIMAR prices</x:v>
      </x:c>
      <x:c r="B5" s="98" t="str">
        <x:v>Core $10/$25; Team $12/$30; Engage $99/$249/$599; API wallet</x:v>
      </x:c>
      <x:c r="C5" s="98" t="str">
        <x:v>2026-08-28</x:v>
      </x:c>
      <x:c r="D5" s="98" t="str">
        <x:v>Management decision</x:v>
      </x:c>
      <x:c r="E5" s="98" t="str">
        <x:v>MIMAR business plan</x:v>
      </x:c>
      <x:c r="F5" s="98" t="str">
        <x:v>D:/Develop/MIMAR-AI/MIMAR_BUSINESS_PLAN_AR_2026.md</x:v>
      </x:c>
      <x:c r="G5" s="98" t="str">
        <x:v>Portfolio</x:v>
      </x:c>
      <x:c r="H5" s="98" t="str">
        <x:v>Published price inputs</x:v>
      </x:c>
      <x:c r="I5" s="98" t="str">
        <x:v>Mix remains untested</x:v>
      </x:c>
    </x:row>
    <x:row r="6">
      <x:c r="A6" s="98" t="str">
        <x:v>Low-ARPA retention</x:v>
      </x:c>
      <x:c r="B6" s="98" t="str">
        <x:v>Annual billing customer retention ~62% below $25 ARPA; monthly is lower</x:v>
      </x:c>
      <x:c r="C6" s="98" t="str">
        <x:v>2026-08-28</x:v>
      </x:c>
      <x:c r="D6" s="98" t="str">
        <x:v>Industry benchmark</x:v>
      </x:c>
      <x:c r="E6" s="98" t="str">
        <x:v>ChartMogul</x:v>
      </x:c>
      <x:c r="F6" s="98" t="str">
        <x:v>https://chartmogul.com/reports/saas-billing-report/</x:v>
      </x:c>
      <x:c r="G6" s="98" t="str">
        <x:v>Individuals</x:v>
      </x:c>
      <x:c r="H6" s="98" t="str">
        <x:v>Use 60% individual annual retention in base</x:v>
      </x:c>
      <x:c r="I6" s="98" t="str">
        <x:v>Dataset excludes some very early companies</x:v>
      </x:c>
    </x:row>
    <x:row r="7">
      <x:c r="A7" s="98" t="str">
        <x:v>Early-stage churn</x:v>
      </x:c>
      <x:c r="B7" s="98" t="str">
        <x:v>Median monthly customer churn is 6.5% below $300k ARR</x:v>
      </x:c>
      <x:c r="C7" s="98" t="str">
        <x:v>2026-08-28</x:v>
      </x:c>
      <x:c r="D7" s="98" t="str">
        <x:v>Industry benchmark</x:v>
      </x:c>
      <x:c r="E7" s="98" t="str">
        <x:v>ChartMogul</x:v>
      </x:c>
      <x:c r="F7" s="98" t="str">
        <x:v>https://chartmogul.com/saas-metrics/customer-churn/</x:v>
      </x:c>
      <x:c r="G7" s="98" t="str">
        <x:v>Portfolio</x:v>
      </x:c>
      <x:c r="H7" s="98" t="str">
        <x:v>Retention must be explicit, not hidden in ending targets</x:v>
      </x:c>
      <x:c r="I7" s="98" t="str">
        <x:v>Not segment-specific to MIMAR</x:v>
      </x:c>
    </x:row>
    <x:row r="8">
      <x:c r="A8" s="98" t="str">
        <x:v>Professional services margin</x:v>
      </x:c>
      <x:c r="B8" s="98" t="str">
        <x:v>Services gross margin median ~30%; high services mix lowers blended margin</x:v>
      </x:c>
      <x:c r="C8" s="98" t="str">
        <x:v>2026-08-28</x:v>
      </x:c>
      <x:c r="D8" s="98" t="str">
        <x:v>Industry benchmark</x:v>
      </x:c>
      <x:c r="E8" s="98" t="str">
        <x:v>Benchmarkit</x:v>
      </x:c>
      <x:c r="F8" s="98" t="str">
        <x:v>https://www.benchmarkit.ai/2025benchmarks</x:v>
      </x:c>
      <x:c r="G8" s="98" t="str">
        <x:v>Onboarding</x:v>
      </x:c>
      <x:c r="H8" s="98" t="str">
        <x:v>Model onboarding at 70% COGS</x:v>
      </x:c>
      <x:c r="I8" s="98" t="str">
        <x:v>Survey population is more mature</x:v>
      </x:c>
    </x:row>
    <x:row r="9">
      <x:c r="A9" s="98" t="str">
        <x:v>AI gross margin</x:v>
      </x:c>
      <x:c r="B9" s="98" t="str">
        <x:v>Selected AI shooting stars average ~60% gross margin</x:v>
      </x:c>
      <x:c r="C9" s="98" t="str">
        <x:v>2026-08-28</x:v>
      </x:c>
      <x:c r="D9" s="98" t="str">
        <x:v>Industry benchmark</x:v>
      </x:c>
      <x:c r="E9" s="98" t="str">
        <x:v>Bessemer Venture Partners</x:v>
      </x:c>
      <x:c r="F9" s="98" t="str">
        <x:v>https://www.bvp.com/atlas/the-state-of-ai-2025</x:v>
      </x:c>
      <x:c r="G9" s="98" t="str">
        <x:v>Core / Engage</x:v>
      </x:c>
      <x:c r="H9" s="98" t="str">
        <x:v>Avoid mature-SaaS margin in early years</x:v>
      </x:c>
      <x:c r="I9" s="98" t="str">
        <x:v>Selected high-performing cohort</x:v>
      </x:c>
    </x:row>
    <x:row r="10">
      <x:c r="A10" s="98" t="str">
        <x:v>Speed to first revenue</x:v>
      </x:c>
      <x:c r="B10" s="98" t="str">
        <x:v>20% of Atlas startups charge a first customer within 30 days</x:v>
      </x:c>
      <x:c r="C10" s="98" t="str">
        <x:v>2026-08-28</x:v>
      </x:c>
      <x:c r="D10" s="98" t="str">
        <x:v>Startup benchmark</x:v>
      </x:c>
      <x:c r="E10" s="98" t="str">
        <x:v>Stripe Atlas</x:v>
      </x:c>
      <x:c r="F10" s="98" t="str">
        <x:v>https://stripe.com/blog/stripe-atlas-startups-in-2025-year-in-review</x:v>
      </x:c>
      <x:c r="G10" s="98" t="str">
        <x:v>Portfolio</x:v>
      </x:c>
      <x:c r="H10" s="98" t="str">
        <x:v>Use gradual monthly acquisition ramp</x:v>
      </x:c>
      <x:c r="I10" s="98" t="str">
        <x:v>Broad startup population</x:v>
      </x:c>
    </x:row>
    <x:row r="11">
      <x:c r="A11" s="98" t="str">
        <x:v>Respond.io pricing</x:v>
      </x:c>
      <x:c r="B11" s="98" t="str">
        <x:v>$79 / $159 / $279; WhatsApp fees excluded</x:v>
      </x:c>
      <x:c r="C11" s="98" t="str">
        <x:v>2026-08-28</x:v>
      </x:c>
      <x:c r="D11" s="98" t="str">
        <x:v>Official pricing</x:v>
      </x:c>
      <x:c r="E11" s="98" t="str">
        <x:v>respond.io</x:v>
      </x:c>
      <x:c r="F11" s="98" t="str">
        <x:v>https://respond.io/pricing</x:v>
      </x:c>
      <x:c r="G11" s="98" t="str">
        <x:v>Engage</x:v>
      </x:c>
      <x:c r="H11" s="98" t="str">
        <x:v>Supports $99/$249 price bands</x:v>
      </x:c>
      <x:c r="I11" s="98" t="str">
        <x:v>Different product scope</x:v>
      </x:c>
    </x:row>
    <x:row r="12">
      <x:c r="A12" s="98" t="str">
        <x:v>Gorgias pricing</x:v>
      </x:c>
      <x:c r="B12" s="98" t="str">
        <x:v>$60 / $360 / $900 plus outcome-based AI</x:v>
      </x:c>
      <x:c r="C12" s="98" t="str">
        <x:v>2026-08-28</x:v>
      </x:c>
      <x:c r="D12" s="98" t="str">
        <x:v>Official pricing</x:v>
      </x:c>
      <x:c r="E12" s="98" t="str">
        <x:v>Gorgias</x:v>
      </x:c>
      <x:c r="F12" s="98" t="str">
        <x:v>https://www.gorgias.com/pricing</x:v>
      </x:c>
      <x:c r="G12" s="98" t="str">
        <x:v>Engage</x:v>
      </x:c>
      <x:c r="H12" s="98" t="str">
        <x:v>Supports mid-market Scale price</x:v>
      </x:c>
      <x:c r="I12" s="98" t="str">
        <x:v>E-commerce centric</x:v>
      </x:c>
    </x:row>
    <x:row r="13">
      <x:c r="A13" s="98" t="str">
        <x:v>Manychat pricing</x:v>
      </x:c>
      <x:c r="B13" s="98" t="str">
        <x:v>From $14 / $29 / $69 / $139 annual-billed</x:v>
      </x:c>
      <x:c r="C13" s="98" t="str">
        <x:v>2026-08-28</x:v>
      </x:c>
      <x:c r="D13" s="98" t="str">
        <x:v>Official pricing</x:v>
      </x:c>
      <x:c r="E13" s="98" t="str">
        <x:v>Manychat</x:v>
      </x:c>
      <x:c r="F13" s="98" t="str">
        <x:v>https://manychat.com/pricing</x:v>
      </x:c>
      <x:c r="G13" s="98" t="str">
        <x:v>Engage</x:v>
      </x:c>
      <x:c r="H13" s="98" t="str">
        <x:v>Lower self-serve anchor</x:v>
      </x:c>
      <x:c r="I13" s="98" t="str">
        <x:v>Broader creator automation</x:v>
      </x:c>
    </x:row>
    <x:row r="14">
      <x:c r="A14" s="98" t="str">
        <x:v>B2B retention target</x:v>
      </x:c>
      <x:c r="B14" s="98" t="str">
        <x:v>90% annual logo retention</x:v>
      </x:c>
      <x:c r="C14" s="98" t="str">
        <x:v>2026-08-28</x:v>
      </x:c>
      <x:c r="D14" s="98" t="str">
        <x:v>Management assumption</x:v>
      </x:c>
      <x:c r="E14" s="98" t="str">
        <x:v>FoundifAI</x:v>
      </x:c>
      <x:c r="F14" s="98" t="str">
        <x:v>Internal underwriting decision</x:v>
      </x:c>
      <x:c r="G14" s="98" t="str">
        <x:v>Teams / Engage / Enterprise</x:v>
      </x:c>
      <x:c r="H14" s="98" t="str">
        <x:v>Applied cohort-by-cohort</x:v>
      </x:c>
      <x:c r="I14" s="98" t="str">
        <x:v>Must be replaced by observed renewals</x:v>
      </x:c>
    </x:row>
  </x:sheetData>
  <x:mergeCells>
    <x:mergeCell ref="A1:I1"/>
    <x:mergeCell ref="A2:I2"/>
  </x:mergeCells>
  <x:pageMargins left="0.7" right="0.7" top="0.75" bottom="0.75" header="0.3" footer="0.3"/>
</x:worksheet>
</file>