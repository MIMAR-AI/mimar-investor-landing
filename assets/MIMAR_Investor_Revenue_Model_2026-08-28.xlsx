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1f6b725d7149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cc0bfca0af4246f4"/>
    <x:sheet xmlns:r="http://schemas.openxmlformats.org/officeDocument/2006/relationships" name="Assumptions" sheetId="2" r:id="R1912bfbb01ab4ee8"/>
    <x:sheet xmlns:r="http://schemas.openxmlformats.org/officeDocument/2006/relationships" name="Core Monthly" sheetId="3" r:id="Re955fe9f896d4698"/>
    <x:sheet xmlns:r="http://schemas.openxmlformats.org/officeDocument/2006/relationships" name="Engage Monthly" sheetId="4" r:id="R2609ceb92a4d434f"/>
    <x:sheet xmlns:r="http://schemas.openxmlformats.org/officeDocument/2006/relationships" name="Scenarios" sheetId="5" r:id="Rc385b4ef9dd74398"/>
    <x:sheet xmlns:r="http://schemas.openxmlformats.org/officeDocument/2006/relationships" name="Checks" sheetId="6" r:id="R8312343dd5a54ed1"/>
    <x:sheet xmlns:r="http://schemas.openxmlformats.org/officeDocument/2006/relationships" name="Sources" sheetId="7" r:id="Re70e6c512cc94d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;[Red]($#,##0);-"/>
    <x:numFmt numFmtId="201" formatCode="0.0%"/>
    <x:numFmt numFmtId="202" formatCode="mmm-yy"/>
    <x:numFmt numFmtId="203" formatCode="0.0"/>
    <x:numFmt numFmtId="204" formatCode="0.00"/>
    <x:numFmt numFmtId="205" formatCode="$#,##0.0;[Red]($#,##0.0);-"/>
  </x:numFmts>
  <x:fonts count="17">
    <x:font>
      <x:sz val="11"/>
      <x:name val="Carlito"/>
    </x:font>
    <x:font>
      <x:b/>
      <x:sz val="18"/>
      <x:color rgb="FFF4F7F8"/>
      <x:name val="Carlito"/>
    </x:font>
    <x:font>
      <x:i/>
      <x:sz val="10"/>
      <x:color rgb="FFA2ACB6"/>
      <x:name val="Carlito"/>
    </x:font>
    <x:font>
      <x:b/>
      <x:sz val="10"/>
      <x:color rgb="FF9EE8EF"/>
      <x:name val="Carlito"/>
    </x:font>
    <x:font>
      <x:sz val="11"/>
      <x:color rgb="FF0070C0"/>
      <x:name val="Carlito"/>
    </x:font>
    <x:font>
      <x:b/>
      <x:sz val="11"/>
      <x:color rgb="FF12323A"/>
      <x:name val="Carlito"/>
    </x:font>
    <x:font>
      <x:b/>
      <x:sz val="11"/>
      <x:color rgb="FF172554"/>
      <x:name val="Carlito"/>
    </x:font>
    <x:font>
      <x:b/>
      <x:sz val="12"/>
      <x:color rgb="FF9EE8EF"/>
      <x:name val="Carlito"/>
    </x:font>
    <x:font>
      <x:i/>
      <x:sz val="11"/>
      <x:color rgb="FF7C2D12"/>
      <x:name val="Carlito"/>
    </x:font>
    <x:font>
      <x:b/>
      <x:sz val="10"/>
      <x:color rgb="FFF4F7F8"/>
      <x:name val="Aptos"/>
    </x:font>
    <x:font>
      <x:sz val="10"/>
      <x:name val="Aptos"/>
    </x:font>
    <x:font>
      <x:i/>
      <x:sz val="10"/>
      <x:color rgb="FFA2ACB6"/>
      <x:name val="Aptos"/>
    </x:font>
    <x:font>
      <x:b/>
      <x:sz val="10"/>
      <x:color rgb="FF9EE8EF"/>
      <x:name val="Aptos"/>
    </x:font>
    <x:font>
      <x:b/>
      <x:sz val="10"/>
      <x:color rgb="FF12323A"/>
      <x:name val="Aptos"/>
    </x:font>
    <x:font>
      <x:b/>
      <x:sz val="10"/>
      <x:color rgb="FF172554"/>
      <x:name val="Aptos"/>
    </x:font>
    <x:font>
      <x:i/>
      <x:sz val="10"/>
      <x:color rgb="FF7C2D12"/>
      <x:name val="Aptos"/>
    </x:font>
    <x:font>
      <x:sz val="10"/>
      <x:color rgb="FF0070C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D0F13"/>
      </x:patternFill>
    </x:fill>
    <x:fill>
      <x:patternFill patternType="solid">
        <x:fgColor rgb="FF15191F"/>
      </x:patternFill>
    </x:fill>
    <x:fill>
      <x:patternFill patternType="solid">
        <x:fgColor rgb="FFE8F5FF"/>
      </x:patternFill>
    </x:fill>
    <x:fill>
      <x:patternFill patternType="solid">
        <x:fgColor rgb="FFDFF7FA"/>
      </x:patternFill>
    </x:fill>
    <x:fill>
      <x:patternFill patternType="solid">
        <x:fgColor rgb="FFE8EEFF"/>
      </x:patternFill>
    </x:fill>
    <x:fill>
      <x:patternFill patternType="solid">
        <x:fgColor rgb="FFFFF7ED"/>
      </x:patternFill>
    </x:fill>
  </x:fills>
  <x:borders count="5">
    <x:border/>
    <x:border>
      <x:bottom style="thin">
        <x:color rgb="FF9EE8EF"/>
      </x:bottom>
    </x:border>
    <x:border>
      <x:top style="thin">
        <x:color rgb="FF9EE8EF"/>
      </x:top>
      <x:bottom style="thin">
        <x:color rgb="FF9EE8EF"/>
      </x:bottom>
    </x:border>
    <x:border>
      <x:top style="thin">
        <x:color rgb="FF93C5FD"/>
      </x:top>
      <x:bottom style="thin">
        <x:color rgb="FF93C5FD"/>
      </x:bottom>
    </x:border>
    <x:border>
      <x:top style="medium">
        <x:color rgb="FF9EE8EF"/>
      </x:top>
      <x:bottom style="medium">
        <x:color rgb="FF9EE8EF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1" fontId="4" fillId="4" borderId="0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5" fillId="5" borderId="2" xfId="0" applyNumberFormat="1" applyFont="1" applyFill="1" applyBorder="1"/>
    <x:xf numFmtId="200" fontId="5" fillId="5" borderId="2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6" fillId="6" borderId="0" xfId="0" applyNumberFormat="1" applyFont="1" applyFill="1" applyBorder="1"/>
    <x:xf numFmtId="200" fontId="6" fillId="6" borderId="0" xfId="0" applyNumberFormat="1" applyFont="1" applyFill="1" applyBorder="1"/>
    <x:xf numFmtId="0" fontId="6" fillId="6" borderId="3" xfId="0" applyNumberFormat="1" applyFont="1" applyFill="1" applyBorder="1"/>
    <x:xf numFmtId="200" fontId="6" fillId="6" borderId="3" xfId="0" applyNumberFormat="1" applyFont="1" applyFill="1" applyBorder="1"/>
    <x:xf numFmtId="200" fontId="0" fillId="2" borderId="0" xfId="0" applyNumberFormat="1" applyFont="1" applyFill="1" applyBorder="1"/>
    <x:xf numFmtId="0" fontId="7" fillId="2" borderId="0" xfId="0" applyNumberFormat="1" applyFont="1" applyFill="1" applyBorder="1"/>
    <x:xf numFmtId="200" fontId="7" fillId="2" borderId="0" xfId="0" applyNumberFormat="1" applyFont="1" applyFill="1" applyBorder="1"/>
    <x:xf numFmtId="0" fontId="7" fillId="2" borderId="4" xfId="0" applyNumberFormat="1" applyFont="1" applyFill="1" applyBorder="1"/>
    <x:xf numFmtId="200" fontId="7" fillId="2" borderId="4" xfId="0" applyNumberFormat="1" applyFont="1" applyFill="1" applyBorder="1"/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10" fillId="0" borderId="0" xfId="0" applyNumberFormat="1" applyFont="1" applyFill="1" applyBorder="1"/>
    <x:xf numFmtId="0" fontId="11" fillId="2" borderId="0" xfId="0" applyNumberFormat="1" applyFont="1" applyFill="1" applyBorder="1" applyAlignment="1">
      <x:alignment wrapText="1"/>
    </x:xf>
    <x:xf numFmtId="0" fontId="12" fillId="3" borderId="1" xfId="0" applyNumberFormat="1" applyFont="1" applyFill="1" applyBorder="1" applyAlignment="1">
      <x:alignment wrapText="1"/>
    </x:xf>
    <x:xf numFmtId="200" fontId="10" fillId="0" borderId="0" xfId="0" applyNumberFormat="1" applyFont="1" applyFill="1" applyBorder="1"/>
    <x:xf numFmtId="0" fontId="13" fillId="5" borderId="2" xfId="0" applyNumberFormat="1" applyFont="1" applyFill="1" applyBorder="1"/>
    <x:xf numFmtId="200" fontId="13" fillId="5" borderId="2" xfId="0" applyNumberFormat="1" applyFont="1" applyFill="1" applyBorder="1"/>
    <x:xf numFmtId="0" fontId="14" fillId="6" borderId="3" xfId="0" applyNumberFormat="1" applyFont="1" applyFill="1" applyBorder="1"/>
    <x:xf numFmtId="200" fontId="14" fillId="6" borderId="3" xfId="0" applyNumberFormat="1" applyFont="1" applyFill="1" applyBorder="1"/>
    <x:xf numFmtId="0" fontId="12" fillId="2" borderId="4" xfId="0" applyNumberFormat="1" applyFont="1" applyFill="1" applyBorder="1"/>
    <x:xf numFmtId="200" fontId="12" fillId="2" borderId="4" xfId="0" applyNumberFormat="1" applyFont="1" applyFill="1" applyBorder="1"/>
    <x:xf numFmtId="201" fontId="10" fillId="0" borderId="0" xfId="0" applyNumberFormat="1" applyFont="1" applyFill="1" applyBorder="1"/>
    <x:xf numFmtId="0" fontId="15" fillId="7" borderId="0" xfId="0" applyNumberFormat="1" applyFont="1" applyFill="1" applyBorder="1" applyAlignment="1">
      <x:alignment vertical="center" wrapText="1"/>
    </x:xf>
    <x:xf numFmtId="0" fontId="16" fillId="4" borderId="0" xfId="0" applyNumberFormat="1" applyFont="1" applyFill="1" applyBorder="1"/>
    <x:xf numFmtId="200" fontId="16" fillId="4" borderId="0" xfId="0" applyNumberFormat="1" applyFont="1" applyFill="1" applyBorder="1"/>
    <x:xf numFmtId="201" fontId="16" fillId="4" borderId="0" xfId="0" applyNumberFormat="1" applyFont="1" applyFill="1" applyBorder="1"/>
    <x:xf numFmtId="201" fontId="10" fillId="4" borderId="0" xfId="0" applyNumberFormat="1" applyFont="1" applyFill="1" applyBorder="1"/>
    <x:xf numFmtId="202" fontId="10" fillId="0" borderId="0" xfId="0" applyNumberFormat="1" applyFont="1" applyFill="1" applyBorder="1"/>
    <x:xf numFmtId="203" fontId="10" fillId="0" borderId="0" xfId="0" applyNumberFormat="1" applyFont="1" applyFill="1" applyBorder="1"/>
    <x:xf numFmtId="205" fontId="10" fillId="0" borderId="0" xfId="0" applyNumberFormat="1" applyFont="1" applyFill="1" applyBorder="1"/>
    <x:xf numFmtId="204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7b999bfa8648f7" /><Relationship Type="http://schemas.openxmlformats.org/officeDocument/2006/relationships/theme" Target="/xl/theme/theme1.xml" Id="R2779c091a1034b80" /><Relationship Type="http://schemas.openxmlformats.org/officeDocument/2006/relationships/sharedStrings" Target="/xl/sharedStrings.xml" Id="R110d64e645e243c5" /><Relationship Type="http://schemas.openxmlformats.org/officeDocument/2006/relationships/worksheet" Target="/xl/worksheets/sheet1.xml" Id="Rcc0bfca0af4246f4" /><Relationship Type="http://schemas.openxmlformats.org/officeDocument/2006/relationships/worksheet" Target="/xl/worksheets/sheet2.xml" Id="R1912bfbb01ab4ee8" /><Relationship Type="http://schemas.openxmlformats.org/officeDocument/2006/relationships/worksheet" Target="/xl/worksheets/sheet3.xml" Id="Re955fe9f896d4698" /><Relationship Type="http://schemas.openxmlformats.org/officeDocument/2006/relationships/worksheet" Target="/xl/worksheets/sheet4.xml" Id="R2609ceb92a4d434f" /><Relationship Type="http://schemas.openxmlformats.org/officeDocument/2006/relationships/worksheet" Target="/xl/worksheets/sheet5.xml" Id="Rc385b4ef9dd74398" /><Relationship Type="http://schemas.openxmlformats.org/officeDocument/2006/relationships/worksheet" Target="/xl/worksheets/sheet6.xml" Id="R8312343dd5a54ed1" /><Relationship Type="http://schemas.openxmlformats.org/officeDocument/2006/relationships/worksheet" Target="/xl/worksheets/sheet7.xml" Id="Re70e6c512cc94d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c1eb20747244c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mix by product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Core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Summary'!$G$5:$G$7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Engage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Summary'!$H$5:$H$7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c1eb20747244c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f87d37fc16a4f2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34" customHeight="1">
      <x:c r="A1" s="42" t="str">
        <x:v>MIMAR Portfolio — Investor Revenue Model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</x:row>
    <x:row r="2" ht="26" customHeight="1">
      <x:c r="A2" s="44" t="str">
        <x:v>Base case | 36 months from Sep 2026 | Core and Engage shown separately | Forecasts are not historical results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</x:row>
    <x:row r="4" ht="24" customHeight="1">
      <x:c r="A4" s="45" t="str">
        <x:v>Revenue stream</x:v>
      </x:c>
      <x:c r="B4" s="45" t="str">
        <x:v>Y1</x:v>
      </x:c>
      <x:c r="C4" s="45" t="str">
        <x:v>Y2</x:v>
      </x:c>
      <x:c r="D4" s="45" t="str">
        <x:v>Y3</x:v>
      </x:c>
      <x:c r="E4" s="43"/>
      <x:c r="F4" s="45" t="str">
        <x:v>Year</x:v>
      </x:c>
      <x:c r="G4" s="45" t="str">
        <x:v>Core</x:v>
      </x:c>
      <x:c r="H4" s="45" t="str">
        <x:v>Engage</x:v>
      </x:c>
      <x:c r="I4" s="45" t="str">
        <x:v>Portfolio</x:v>
      </x:c>
      <x:c r="J4" s="43"/>
      <x:c r="K4" s="43"/>
      <x:c r="L4" s="43"/>
    </x:row>
    <x:row r="5">
      <x:c r="A5" s="43" t="str">
        <x:v>CORE — Individuals</x:v>
      </x:c>
      <x:c r="B5" s="46" t="n">
        <x:f>SUM('Core Monthly'!E5:E16)</x:f>
        <x:v>14040</x:v>
      </x:c>
      <x:c r="C5" s="46" t="n">
        <x:f>SUM('Core Monthly'!E17:E28)</x:f>
        <x:v>95760</x:v>
      </x:c>
      <x:c r="D5" s="46" t="n">
        <x:f>SUM('Core Monthly'!E29:E40)</x:f>
        <x:v>345000</x:v>
      </x:c>
      <x:c r="E5" s="43"/>
      <x:c r="F5" s="43" t="str">
        <x:v>Y1</x:v>
      </x:c>
      <x:c r="G5" s="46" t="n">
        <x:f>B10</x:f>
        <x:v>85215</x:v>
      </x:c>
      <x:c r="H5" s="46" t="n">
        <x:f>B18</x:f>
        <x:v>78372.5</x:v>
      </x:c>
      <x:c r="I5" s="46" t="n">
        <x:f>B20</x:f>
        <x:v>163587.5</x:v>
      </x:c>
      <x:c r="J5" s="43"/>
      <x:c r="K5" s="43"/>
      <x:c r="L5" s="43"/>
    </x:row>
    <x:row r="6">
      <x:c r="A6" s="43" t="str">
        <x:v>CORE — Team seats</x:v>
      </x:c>
      <x:c r="B6" s="46" t="n">
        <x:f>SUM('Core Monthly'!I5:I16)</x:f>
        <x:v>28600</x:v>
      </x:c>
      <x:c r="C6" s="46" t="n">
        <x:f>SUM('Core Monthly'!I17:I28)</x:f>
        <x:v>165600</x:v>
      </x:c>
      <x:c r="D6" s="46" t="n">
        <x:f>SUM('Core Monthly'!I29:I40)</x:f>
        <x:v>612300</x:v>
      </x:c>
      <x:c r="E6" s="43"/>
      <x:c r="F6" s="43" t="str">
        <x:v>Y2</x:v>
      </x:c>
      <x:c r="G6" s="46" t="n">
        <x:f>C10</x:f>
        <x:v>465810</x:v>
      </x:c>
      <x:c r="H6" s="46" t="n">
        <x:f>C18</x:f>
        <x:v>311155.6</x:v>
      </x:c>
      <x:c r="I6" s="46" t="n">
        <x:f>C20</x:f>
        <x:v>776965.6</x:v>
      </x:c>
      <x:c r="J6" s="43"/>
      <x:c r="K6" s="43"/>
      <x:c r="L6" s="43"/>
    </x:row>
    <x:row r="7">
      <x:c r="A7" s="43" t="str">
        <x:v>CORE — Enterprise</x:v>
      </x:c>
      <x:c r="B7" s="46" t="n">
        <x:f>SUM('Core Monthly'!L5:L16)</x:f>
        <x:v>9750</x:v>
      </x:c>
      <x:c r="C7" s="46" t="n">
        <x:f>SUM('Core Monthly'!L17:L28)</x:f>
        <x:v>52500</x:v>
      </x:c>
      <x:c r="D7" s="46" t="n">
        <x:f>SUM('Core Monthly'!L29:L40)</x:f>
        <x:v>226000</x:v>
      </x:c>
      <x:c r="E7" s="43"/>
      <x:c r="F7" s="43" t="str">
        <x:v>Y3</x:v>
      </x:c>
      <x:c r="G7" s="46" t="n">
        <x:f>D10</x:f>
        <x:v>1777400</x:v>
      </x:c>
      <x:c r="H7" s="46" t="n">
        <x:f>D18</x:f>
        <x:v>853962.16</x:v>
      </x:c>
      <x:c r="I7" s="46" t="n">
        <x:f>D20</x:f>
        <x:v>2631362.16</x:v>
      </x:c>
      <x:c r="J7" s="43"/>
      <x:c r="K7" s="43"/>
      <x:c r="L7" s="43"/>
    </x:row>
    <x:row r="8">
      <x:c r="A8" s="43" t="str">
        <x:v>CORE — API wallet</x:v>
      </x:c>
      <x:c r="B8" s="46" t="n">
        <x:f>SUM('Core Monthly'!O5:O16)</x:f>
        <x:v>6825</x:v>
      </x:c>
      <x:c r="C8" s="46" t="n">
        <x:f>SUM('Core Monthly'!O17:O28)</x:f>
        <x:v>95250</x:v>
      </x:c>
      <x:c r="D8" s="46" t="n">
        <x:f>SUM('Core Monthly'!O29:O40)</x:f>
        <x:v>477850</x:v>
      </x:c>
      <x:c r="E8" s="43"/>
      <x:c r="F8" s="43"/>
      <x:c r="G8" s="43"/>
      <x:c r="H8" s="43"/>
      <x:c r="I8" s="43"/>
      <x:c r="J8" s="43"/>
      <x:c r="K8" s="43"/>
      <x:c r="L8" s="43"/>
    </x:row>
    <x:row r="9">
      <x:c r="A9" s="43" t="str">
        <x:v>CORE — Onboarding</x:v>
      </x:c>
      <x:c r="B9" s="46" t="n">
        <x:f>SUM('Core Monthly'!R5:R16)</x:f>
        <x:v>26000</x:v>
      </x:c>
      <x:c r="C9" s="46" t="n">
        <x:f>SUM('Core Monthly'!R17:R28)</x:f>
        <x:v>56700</x:v>
      </x:c>
      <x:c r="D9" s="46" t="n">
        <x:f>SUM('Core Monthly'!R29:R40)</x:f>
        <x:v>116250</x:v>
      </x:c>
      <x:c r="E9" s="43"/>
      <x:c r="F9" s="43"/>
      <x:c r="G9" s="43"/>
      <x:c r="H9" s="43"/>
      <x:c r="I9" s="43"/>
      <x:c r="J9" s="43"/>
      <x:c r="K9" s="43"/>
      <x:c r="L9" s="43"/>
    </x:row>
    <x:row r="10">
      <x:c r="A10" s="47" t="str">
        <x:v>CORE TOTAL</x:v>
      </x:c>
      <x:c r="B10" s="48" t="n">
        <x:f>SUM(B5:B9)</x:f>
        <x:v>85215</x:v>
      </x:c>
      <x:c r="C10" s="48" t="n">
        <x:f>SUM(C5:C9)</x:f>
        <x:v>465810</x:v>
      </x:c>
      <x:c r="D10" s="48" t="n">
        <x:f>SUM(D5:D9)</x:f>
        <x:v>1777400</x:v>
      </x:c>
      <x:c r="E10" s="43"/>
      <x:c r="F10" s="43"/>
      <x:c r="G10" s="43"/>
      <x:c r="H10" s="43"/>
      <x:c r="I10" s="43"/>
      <x:c r="J10" s="43"/>
      <x:c r="K10" s="43"/>
      <x:c r="L10" s="43"/>
    </x:row>
    <x:row r="11">
      <x:c r="A11" s="43" t="str"/>
      <x:c r="B11" s="46"/>
      <x:c r="C11" s="46"/>
      <x:c r="D11" s="46"/>
      <x:c r="E11" s="43"/>
      <x:c r="F11" s="43"/>
      <x:c r="G11" s="43"/>
      <x:c r="H11" s="43"/>
      <x:c r="I11" s="43"/>
      <x:c r="J11" s="43"/>
      <x:c r="K11" s="43"/>
      <x:c r="L11" s="43"/>
    </x:row>
    <x:row r="12">
      <x:c r="A12" s="43" t="str">
        <x:v>ENGAGE — Starter</x:v>
      </x:c>
      <x:c r="B12" s="46" t="n">
        <x:f>SUM('Engage Monthly'!D5:D16)</x:f>
        <x:v>10296</x:v>
      </x:c>
      <x:c r="C12" s="46" t="n">
        <x:f>SUM('Engage Monthly'!D17:D28)</x:f>
        <x:v>37669.5</x:v>
      </x:c>
      <x:c r="D12" s="46" t="n">
        <x:f>SUM('Engage Monthly'!D29:D40)</x:f>
        <x:v>79200</x:v>
      </x:c>
      <x:c r="E12" s="43"/>
      <x:c r="F12" s="43"/>
      <x:c r="G12" s="43"/>
      <x:c r="H12" s="43"/>
      <x:c r="I12" s="43"/>
      <x:c r="J12" s="43"/>
      <x:c r="K12" s="43"/>
      <x:c r="L12" s="43"/>
    </x:row>
    <x:row r="13">
      <x:c r="A13" s="43" t="str">
        <x:v>ENGAGE — Growth</x:v>
      </x:c>
      <x:c r="B13" s="46" t="n">
        <x:f>SUM('Engage Monthly'!F5:F16)</x:f>
        <x:v>25896</x:v>
      </x:c>
      <x:c r="C13" s="46" t="n">
        <x:f>SUM('Engage Monthly'!F17:F28)</x:f>
        <x:v>110929.5</x:v>
      </x:c>
      <x:c r="D13" s="46" t="n">
        <x:f>SUM('Engage Monthly'!F29:F40)</x:f>
        <x:v>342375</x:v>
      </x:c>
      <x:c r="E13" s="43"/>
      <x:c r="F13" s="43"/>
      <x:c r="G13" s="43"/>
      <x:c r="H13" s="43"/>
      <x:c r="I13" s="43"/>
      <x:c r="J13" s="43"/>
      <x:c r="K13" s="43"/>
      <x:c r="L13" s="43"/>
    </x:row>
    <x:row r="14">
      <x:c r="A14" s="43" t="str">
        <x:v>ENGAGE — Scale</x:v>
      </x:c>
      <x:c r="B14" s="46" t="n">
        <x:f>SUM('Engage Monthly'!H5:H16)</x:f>
        <x:v>11680.5</x:v>
      </x:c>
      <x:c r="C14" s="46" t="n">
        <x:f>SUM('Engage Monthly'!H17:H28)</x:f>
        <x:v>76073</x:v>
      </x:c>
      <x:c r="D14" s="46" t="n">
        <x:f>SUM('Engage Monthly'!H29:H40)</x:f>
        <x:v>223427</x:v>
      </x:c>
      <x:c r="E14" s="43"/>
      <x:c r="F14" s="43"/>
      <x:c r="G14" s="43"/>
      <x:c r="H14" s="43"/>
      <x:c r="I14" s="43"/>
      <x:c r="J14" s="43"/>
      <x:c r="K14" s="43"/>
      <x:c r="L14" s="43"/>
    </x:row>
    <x:row r="15">
      <x:c r="A15" s="43" t="str">
        <x:v>ENGAGE — Enterprise</x:v>
      </x:c>
      <x:c r="B15" s="46" t="n">
        <x:f>SUM('Engage Monthly'!J5:J16)</x:f>
        <x:v>6500</x:v>
      </x:c>
      <x:c r="C15" s="46" t="n">
        <x:f>SUM('Engage Monthly'!J17:J28)</x:f>
        <x:v>25000</x:v>
      </x:c>
      <x:c r="D15" s="46" t="n">
        <x:f>SUM('Engage Monthly'!J29:J40)</x:f>
        <x:v>62000</x:v>
      </x:c>
      <x:c r="E15" s="43"/>
      <x:c r="F15" s="43"/>
      <x:c r="G15" s="43"/>
      <x:c r="H15" s="43"/>
      <x:c r="I15" s="43"/>
      <x:c r="J15" s="43"/>
      <x:c r="K15" s="43"/>
      <x:c r="L15" s="43"/>
    </x:row>
    <x:row r="16">
      <x:c r="A16" s="43" t="str">
        <x:v>ENGAGE — Usage/add-ons</x:v>
      </x:c>
      <x:c r="B16" s="46" t="n">
        <x:f>SUM('Engage Monthly'!L5:L16)</x:f>
        <x:v>0</x:v>
      </x:c>
      <x:c r="C16" s="46" t="n">
        <x:f>SUM('Engage Monthly'!L17:L28)</x:f>
        <x:v>12483.6</x:v>
      </x:c>
      <x:c r="D16" s="46" t="n">
        <x:f>SUM('Engage Monthly'!L29:L40)</x:f>
        <x:v>56560.159999999996</x:v>
      </x:c>
      <x:c r="E16" s="43"/>
      <x:c r="F16" s="43"/>
      <x:c r="G16" s="43"/>
      <x:c r="H16" s="43"/>
      <x:c r="I16" s="43"/>
      <x:c r="J16" s="43"/>
      <x:c r="K16" s="43"/>
      <x:c r="L16" s="43"/>
    </x:row>
    <x:row r="17">
      <x:c r="A17" s="43" t="str">
        <x:v>ENGAGE — Onboarding</x:v>
      </x:c>
      <x:c r="B17" s="46" t="n">
        <x:f>SUM('Engage Monthly'!Q5:Q16)</x:f>
        <x:v>24000</x:v>
      </x:c>
      <x:c r="C17" s="46" t="n">
        <x:f>SUM('Engage Monthly'!Q17:Q28)</x:f>
        <x:v>49000</x:v>
      </x:c>
      <x:c r="D17" s="46" t="n">
        <x:f>SUM('Engage Monthly'!Q29:Q40)</x:f>
        <x:v>90400</x:v>
      </x:c>
      <x:c r="E17" s="43"/>
      <x:c r="F17" s="43"/>
      <x:c r="G17" s="43"/>
      <x:c r="H17" s="43"/>
      <x:c r="I17" s="43"/>
      <x:c r="J17" s="43"/>
      <x:c r="K17" s="43"/>
      <x:c r="L17" s="43"/>
    </x:row>
    <x:row r="18">
      <x:c r="A18" s="49" t="str">
        <x:v>ENGAGE TOTAL</x:v>
      </x:c>
      <x:c r="B18" s="50" t="n">
        <x:f>SUM(B12:B17)</x:f>
        <x:v>78372.5</x:v>
      </x:c>
      <x:c r="C18" s="50" t="n">
        <x:f>SUM(C12:C17)</x:f>
        <x:v>311155.6</x:v>
      </x:c>
      <x:c r="D18" s="50" t="n">
        <x:f>SUM(D12:D17)</x:f>
        <x:v>853962.16</x:v>
      </x:c>
      <x:c r="E18" s="43"/>
      <x:c r="F18" s="43"/>
      <x:c r="G18" s="43"/>
      <x:c r="H18" s="43"/>
      <x:c r="I18" s="43"/>
      <x:c r="J18" s="43"/>
      <x:c r="K18" s="43"/>
      <x:c r="L18" s="43"/>
    </x:row>
    <x:row r="19">
      <x:c r="A19" s="43" t="str"/>
      <x:c r="B19" s="46"/>
      <x:c r="C19" s="46"/>
      <x:c r="D19" s="46"/>
      <x:c r="E19" s="43"/>
      <x:c r="F19" s="43"/>
      <x:c r="G19" s="43"/>
      <x:c r="H19" s="43"/>
      <x:c r="I19" s="43"/>
      <x:c r="J19" s="43"/>
      <x:c r="K19" s="43"/>
      <x:c r="L19" s="43"/>
    </x:row>
    <x:row r="20">
      <x:c r="A20" s="51" t="str">
        <x:v>PORTFOLIO REVENUE</x:v>
      </x:c>
      <x:c r="B20" s="52" t="n">
        <x:f>B10+B18</x:f>
        <x:v>163587.5</x:v>
      </x:c>
      <x:c r="C20" s="52" t="n">
        <x:f>C10+C18</x:f>
        <x:v>776965.6</x:v>
      </x:c>
      <x:c r="D20" s="52" t="n">
        <x:f>D10+D18</x:f>
        <x:v>2631362.16</x:v>
      </x:c>
      <x:c r="E20" s="43"/>
      <x:c r="F20" s="43"/>
      <x:c r="G20" s="43"/>
      <x:c r="H20" s="43"/>
      <x:c r="I20" s="43"/>
      <x:c r="J20" s="43"/>
      <x:c r="K20" s="43"/>
      <x:c r="L20" s="43"/>
    </x:row>
    <x:row r="21">
      <x:c r="A21" s="43" t="str">
        <x:v>Ending MRR (recurring only)</x:v>
      </x:c>
      <x:c r="B21" s="46" t="n">
        <x:f>'Core Monthly'!S16-'Core Monthly'!R16+'Engage Monthly'!R16-'Engage Monthly'!Q16</x:f>
        <x:v>17475</x:v>
      </x:c>
      <x:c r="C21" s="46" t="n">
        <x:f>'Core Monthly'!S28-'Core Monthly'!R28+'Engage Monthly'!R28-'Engage Monthly'!Q28</x:f>
        <x:v>85316.31666666665</x:v>
      </x:c>
      <x:c r="D21" s="46" t="n">
        <x:f>'Core Monthly'!S40-'Core Monthly'!R40+'Engage Monthly'!R40-'Engage Monthly'!Q40</x:f>
        <x:v>289847.55999999994</x:v>
      </x:c>
      <x:c r="E21" s="43"/>
      <x:c r="F21" s="43"/>
      <x:c r="G21" s="43"/>
      <x:c r="H21" s="43"/>
      <x:c r="I21" s="43"/>
      <x:c r="J21" s="43"/>
      <x:c r="K21" s="43"/>
      <x:c r="L21" s="43"/>
    </x:row>
    <x:row r="22">
      <x:c r="A22" s="43" t="str">
        <x:v>Exit ARR</x:v>
      </x:c>
      <x:c r="B22" s="46" t="n">
        <x:f>B21*12</x:f>
        <x:v>209700</x:v>
      </x:c>
      <x:c r="C22" s="46" t="n">
        <x:f>C21*12</x:f>
        <x:v>1023795.7999999998</x:v>
      </x:c>
      <x:c r="D22" s="46" t="n">
        <x:f>D21*12</x:f>
        <x:v>3478170.7199999993</x:v>
      </x:c>
      <x:c r="E22" s="43"/>
      <x:c r="F22" s="43"/>
      <x:c r="G22" s="43"/>
      <x:c r="H22" s="43"/>
      <x:c r="I22" s="43"/>
      <x:c r="J22" s="43"/>
      <x:c r="K22" s="43"/>
      <x:c r="L22" s="43"/>
    </x:row>
    <x:row r="23">
      <x:c r="A23" s="43" t="str">
        <x:v>Recurring revenue mix</x:v>
      </x:c>
      <x:c r="B23" s="53" t="n">
        <x:f>(B20-B9-B17)/B20</x:f>
        <x:v>0.6943531749063957</x:v>
      </x:c>
      <x:c r="C23" s="53" t="n">
        <x:f>(C20-C9-C17)/C20</x:f>
        <x:v>0.8639579409950711</x:v>
      </x:c>
      <x:c r="D23" s="53" t="n">
        <x:f>(D20-D9-D17)/D20</x:f>
        <x:v>0.9214665304756073</x:v>
      </x:c>
      <x:c r="E23" s="43"/>
      <x:c r="F23" s="43"/>
      <x:c r="G23" s="43"/>
      <x:c r="H23" s="43"/>
      <x:c r="I23" s="43"/>
      <x:c r="J23" s="43"/>
      <x:c r="K23" s="43"/>
      <x:c r="L23" s="43"/>
    </x:row>
    <x:row r="24">
      <x:c r="A24" s="43" t="str">
        <x:v>Core share</x:v>
      </x:c>
      <x:c r="B24" s="53" t="n">
        <x:f>B10/B20</x:f>
        <x:v>0.5209138840070299</x:v>
      </x:c>
      <x:c r="C24" s="53" t="n">
        <x:f>C10/C20</x:f>
        <x:v>0.5995246121578613</x:v>
      </x:c>
      <x:c r="D24" s="53" t="n">
        <x:f>D10/D20</x:f>
        <x:v>0.6754676444841784</x:v>
      </x:c>
      <x:c r="E24" s="43"/>
      <x:c r="F24" s="43"/>
      <x:c r="G24" s="43"/>
      <x:c r="H24" s="43"/>
      <x:c r="I24" s="43"/>
      <x:c r="J24" s="43"/>
      <x:c r="K24" s="43"/>
      <x:c r="L24" s="43"/>
    </x:row>
    <x:row r="25">
      <x:c r="A25" s="43" t="str">
        <x:v>Engage share</x:v>
      </x:c>
      <x:c r="B25" s="53" t="n">
        <x:f>B18/B20</x:f>
        <x:v>0.47908611599297013</x:v>
      </x:c>
      <x:c r="C25" s="53" t="n">
        <x:f>C18/C20</x:f>
        <x:v>0.4004753878421387</x:v>
      </x:c>
      <x:c r="D25" s="53" t="n">
        <x:f>D18/D20</x:f>
        <x:v>0.3245323555158215</x:v>
      </x:c>
      <x:c r="E25" s="43"/>
      <x:c r="F25" s="43"/>
      <x:c r="G25" s="43"/>
      <x:c r="H25" s="43"/>
      <x:c r="I25" s="43"/>
      <x:c r="J25" s="43"/>
      <x:c r="K25" s="43"/>
      <x:c r="L25" s="43"/>
    </x:row>
    <x:row r="26">
      <x:c r="A26" s="43" t="str">
        <x:v>Gross profit</x:v>
      </x:c>
      <x:c r="B26" s="46" t="n">
        <x:f>B10*(1-Assumptions!B15)+B18*(1-Assumptions!B28)</x:f>
        <x:v>122348.5</x:v>
      </x:c>
      <x:c r="C26" s="46" t="n">
        <x:f>C10*(1-Assumptions!C15)+C18*(1-Assumptions!C28)</x:f>
        <x:v>595170.424</x:v>
      </x:c>
      <x:c r="D26" s="46" t="n">
        <x:f>D10*(1-Assumptions!D15)+D18*(1-Assumptions!D28)</x:f>
        <x:v>2034688.4848000002</x:v>
      </x:c>
      <x:c r="E26" s="43"/>
      <x:c r="F26" s="43"/>
      <x:c r="G26" s="43"/>
      <x:c r="H26" s="43"/>
      <x:c r="I26" s="43"/>
      <x:c r="J26" s="43"/>
      <x:c r="K26" s="43"/>
      <x:c r="L26" s="43"/>
    </x:row>
    <x:row r="27">
      <x:c r="A27" s="43" t="str">
        <x:v>Blended gross margin</x:v>
      </x:c>
      <x:c r="B27" s="53" t="n">
        <x:f>B26/B20</x:f>
        <x:v>0.747908611599297</x:v>
      </x:c>
      <x:c r="C27" s="53" t="n">
        <x:f>C26/C20</x:f>
        <x:v>0.7660190155136856</x:v>
      </x:c>
      <x:c r="D27" s="53" t="n">
        <x:f>D26/D20</x:f>
        <x:v>0.7732453235551583</x:v>
      </x:c>
      <x:c r="E27" s="43"/>
      <x:c r="F27" s="54" t="str">
        <x:v>Forecast note: this is a driver-based planning case, not company guidance. Conservative and upside ranges are shown because paid conversion, retention, seat expansion and usage cohorts are still being established.</x:v>
      </x:c>
      <x:c r="G27" s="54"/>
      <x:c r="H27" s="54"/>
      <x:c r="I27" s="54"/>
      <x:c r="J27" s="54"/>
      <x:c r="K27" s="54"/>
      <x:c r="L27" s="54"/>
    </x:row>
    <x:row r="28">
      <x:c r="A28" s="43" t="str">
        <x:v>Model status</x:v>
      </x:c>
      <x:c r="B28" s="43" t="str">
        <x:v>Planning case</x:v>
      </x:c>
      <x:c r="C28" s="43" t="str">
        <x:v>Planning case</x:v>
      </x:c>
      <x:c r="D28" s="43" t="str">
        <x:v>Planning case</x:v>
      </x:c>
      <x:c r="E28" s="43"/>
      <x:c r="F28" s="54"/>
      <x:c r="G28" s="54"/>
      <x:c r="H28" s="54"/>
      <x:c r="I28" s="54"/>
      <x:c r="J28" s="54"/>
      <x:c r="K28" s="54"/>
      <x:c r="L28" s="54"/>
    </x:row>
    <x:row r="29">
      <x:c r="A29" s="43"/>
      <x:c r="B29" s="43"/>
      <x:c r="C29" s="43"/>
      <x:c r="D29" s="43"/>
      <x:c r="E29" s="43"/>
      <x:c r="F29" s="54"/>
      <x:c r="G29" s="54"/>
      <x:c r="H29" s="54"/>
      <x:c r="I29" s="54"/>
      <x:c r="J29" s="54"/>
      <x:c r="K29" s="54"/>
      <x:c r="L29" s="54"/>
    </x:row>
    <x:row r="30" ht="24" customHeight="1">
      <x:c r="A30" s="45" t="str">
        <x:v>Forecast range</x:v>
      </x:c>
      <x:c r="B30" s="45" t="str">
        <x:v>Y1</x:v>
      </x:c>
      <x:c r="C30" s="45" t="str">
        <x:v>Y2</x:v>
      </x:c>
      <x:c r="D30" s="45" t="str">
        <x:v>Y3</x:v>
      </x:c>
      <x:c r="E30" s="43"/>
      <x:c r="F30" s="54"/>
      <x:c r="G30" s="54"/>
      <x:c r="H30" s="54"/>
      <x:c r="I30" s="54"/>
      <x:c r="J30" s="54"/>
      <x:c r="K30" s="54"/>
      <x:c r="L30" s="54"/>
    </x:row>
    <x:row r="31">
      <x:c r="A31" s="43" t="str">
        <x:v>Conservative</x:v>
      </x:c>
      <x:c r="B31" s="46" t="n">
        <x:f>B20*Assumptions!B32</x:f>
        <x:v>106331.875</x:v>
      </x:c>
      <x:c r="C31" s="46" t="n">
        <x:f>C20*Assumptions!C32</x:f>
        <x:v>427331.08</x:v>
      </x:c>
      <x:c r="D31" s="46" t="n">
        <x:f>D20*Assumptions!D32</x:f>
        <x:v>1184112.972</x:v>
      </x:c>
      <x:c r="E31" s="43"/>
      <x:c r="F31" s="43"/>
      <x:c r="G31" s="43"/>
      <x:c r="H31" s="43"/>
      <x:c r="I31" s="43"/>
      <x:c r="J31" s="43"/>
      <x:c r="K31" s="43"/>
      <x:c r="L31" s="43"/>
    </x:row>
    <x:row r="32">
      <x:c r="A32" s="43" t="str">
        <x:v>Base</x:v>
      </x:c>
      <x:c r="B32" s="46" t="n">
        <x:f>B20</x:f>
        <x:v>163587.5</x:v>
      </x:c>
      <x:c r="C32" s="46" t="n">
        <x:f>C20</x:f>
        <x:v>776965.6</x:v>
      </x:c>
      <x:c r="D32" s="46" t="n">
        <x:f>D20</x:f>
        <x:v>2631362.16</x:v>
      </x:c>
      <x:c r="E32" s="43"/>
      <x:c r="F32" s="43"/>
      <x:c r="G32" s="43"/>
      <x:c r="H32" s="43"/>
      <x:c r="I32" s="43"/>
      <x:c r="J32" s="43"/>
      <x:c r="K32" s="43"/>
      <x:c r="L32" s="43"/>
    </x:row>
    <x:row r="33">
      <x:c r="A33" s="43" t="str">
        <x:v>Upside</x:v>
      </x:c>
      <x:c r="B33" s="46" t="n">
        <x:f>B20*Assumptions!B34</x:f>
        <x:v>204484.375</x:v>
      </x:c>
      <x:c r="C33" s="46" t="n">
        <x:f>C20*Assumptions!C34</x:f>
        <x:v>1126600.1199999999</x:v>
      </x:c>
      <x:c r="D33" s="46" t="n">
        <x:f>D20*Assumptions!D34</x:f>
        <x:v>4210179.456</x:v>
      </x:c>
      <x:c r="E33" s="43"/>
      <x:c r="F33" s="43"/>
      <x:c r="G33" s="43"/>
      <x:c r="H33" s="43"/>
      <x:c r="I33" s="43"/>
      <x:c r="J33" s="43"/>
      <x:c r="K33" s="43"/>
      <x:c r="L33" s="43"/>
    </x:row>
  </x:sheetData>
  <x:mergeCells>
    <x:mergeCell ref="A1:L1"/>
    <x:mergeCell ref="A2:L2"/>
    <x:mergeCell ref="F27:L30"/>
  </x:mergeCells>
  <x:pageMargins left="0.7" right="0.7" top="0.75" bottom="0.75" header="0.3" footer="0.3"/>
  <x:drawing xmlns:r="http://schemas.openxmlformats.org/officeDocument/2006/relationships" r:id="Rff87d37fc16a4f2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25" hidden="0" customWidth="1"/>
    <x:col min="7" max="7" width="23" hidden="0" customWidth="1"/>
    <x:col min="8" max="8" width="58" hidden="0" customWidth="1"/>
  </x:cols>
  <x:sheetData>
    <x:row r="1" ht="34" customHeight="1">
      <x:c r="A1" s="42" t="str">
        <x:v>MIMAR 3-Year Revenue Model — Assumptions</x:v>
      </x:c>
      <x:c r="B1" s="43"/>
      <x:c r="C1" s="43"/>
      <x:c r="D1" s="43"/>
      <x:c r="E1" s="43"/>
      <x:c r="F1" s="43"/>
      <x:c r="G1" s="43"/>
      <x:c r="H1" s="43"/>
    </x:row>
    <x:row r="2" ht="26" customHeight="1">
      <x:c r="A2" s="44" t="str">
        <x:v>Blue cells are editable inputs. Validation status distinguishes published inputs from assumptions that require paid-cohort evidence.</x:v>
      </x:c>
      <x:c r="B2" s="43"/>
      <x:c r="C2" s="43"/>
      <x:c r="D2" s="43"/>
      <x:c r="E2" s="43"/>
      <x:c r="F2" s="43"/>
      <x:c r="G2" s="43"/>
      <x:c r="H2" s="43"/>
    </x:row>
    <x:row r="3">
      <x:c r="A3" s="43"/>
      <x:c r="B3" s="43"/>
      <x:c r="C3" s="43"/>
      <x:c r="D3" s="43"/>
      <x:c r="E3" s="43"/>
      <x:c r="F3" s="43"/>
      <x:c r="G3" s="43"/>
      <x:c r="H3" s="43"/>
    </x:row>
    <x:row r="4" ht="24" customHeight="1">
      <x:c r="A4" s="45" t="str">
        <x:v>Driver</x:v>
      </x:c>
      <x:c r="B4" s="45" t="str">
        <x:v>Y1</x:v>
      </x:c>
      <x:c r="C4" s="45" t="str">
        <x:v>Y2</x:v>
      </x:c>
      <x:c r="D4" s="45" t="str">
        <x:v>Y3</x:v>
      </x:c>
      <x:c r="E4" s="45" t="str">
        <x:v>Unit</x:v>
      </x:c>
      <x:c r="F4" s="45" t="str">
        <x:v>Evidence type</x:v>
      </x:c>
      <x:c r="G4" s="45" t="str">
        <x:v>Validation status</x:v>
      </x:c>
      <x:c r="H4" s="45" t="str">
        <x:v>Source / rationale</x:v>
      </x:c>
    </x:row>
    <x:row r="5">
      <x:c r="A5" s="43" t="str">
        <x:v>CORE — ending individual paid users</x:v>
      </x:c>
      <x:c r="B5" s="55" t="n">
        <x:v>120</x:v>
      </x:c>
      <x:c r="C5" s="55" t="n">
        <x:v>600</x:v>
      </x:c>
      <x:c r="D5" s="55" t="n">
        <x:v>1800</x:v>
      </x:c>
      <x:c r="E5" s="43" t="str">
        <x:v>users</x:v>
      </x:c>
      <x:c r="F5" s="43" t="str">
        <x:v>Management target</x:v>
      </x:c>
      <x:c r="G5" s="43" t="str">
        <x:v>Validate with cohorts</x:v>
      </x:c>
      <x:c r="H5" s="43" t="str">
        <x:v>MIMAR business plan; no observed cohort data yet</x:v>
      </x:c>
    </x:row>
    <x:row r="6">
      <x:c r="A6" s="43" t="str">
        <x:v>CORE — blended individual ARPU</x:v>
      </x:c>
      <x:c r="B6" s="55" t="n">
        <x:v>18</x:v>
      </x:c>
      <x:c r="C6" s="55" t="n">
        <x:v>21</x:v>
      </x:c>
      <x:c r="D6" s="55" t="n">
        <x:v>23</x:v>
      </x:c>
      <x:c r="E6" s="43" t="str">
        <x:v>$/month</x:v>
      </x:c>
      <x:c r="F6" s="43" t="str">
        <x:v>Published price + mix assumption</x:v>
      </x:c>
      <x:c r="G6" s="43" t="str">
        <x:v>Market anchored</x:v>
      </x:c>
      <x:c r="H6" s="43" t="str">
        <x:v>MIMAR prices: Plus $10, Pro $25; mix not yet observed</x:v>
      </x:c>
    </x:row>
    <x:row r="7">
      <x:c r="A7" s="43" t="str">
        <x:v>CORE — ending team accounts</x:v>
      </x:c>
      <x:c r="B7" s="55" t="n">
        <x:v>25</x:v>
      </x:c>
      <x:c r="C7" s="55" t="n">
        <x:v>85</x:v>
      </x:c>
      <x:c r="D7" s="55" t="n">
        <x:v>230</x:v>
      </x:c>
      <x:c r="E7" s="43" t="str">
        <x:v>accounts</x:v>
      </x:c>
      <x:c r="F7" s="43" t="str">
        <x:v>Management target</x:v>
      </x:c>
      <x:c r="G7" s="43" t="str">
        <x:v>Validate with cohorts</x:v>
      </x:c>
      <x:c r="H7" s="43" t="str">
        <x:v>MIMAR business plan; founder-led sales assumption</x:v>
      </x:c>
    </x:row>
    <x:row r="8">
      <x:c r="A8" s="43" t="str">
        <x:v>CORE — average seats per team</x:v>
      </x:c>
      <x:c r="B8" s="55" t="n">
        <x:v>8</x:v>
      </x:c>
      <x:c r="C8" s="55" t="n">
        <x:v>10</x:v>
      </x:c>
      <x:c r="D8" s="55" t="n">
        <x:v>12</x:v>
      </x:c>
      <x:c r="E8" s="43" t="str">
        <x:v>seats/account</x:v>
      </x:c>
      <x:c r="F8" s="43" t="str">
        <x:v>Management assumption</x:v>
      </x:c>
      <x:c r="G8" s="43" t="str">
        <x:v>Model assumption</x:v>
      </x:c>
      <x:c r="H8" s="43" t="str">
        <x:v>Target teams are 5–50 people; seat adoption untested</x:v>
      </x:c>
    </x:row>
    <x:row r="9">
      <x:c r="A9" s="43" t="str">
        <x:v>CORE — blended team seat price</x:v>
      </x:c>
      <x:c r="B9" s="55" t="n">
        <x:v>22</x:v>
      </x:c>
      <x:c r="C9" s="55" t="n">
        <x:v>24</x:v>
      </x:c>
      <x:c r="D9" s="55" t="n">
        <x:v>26</x:v>
      </x:c>
      <x:c r="E9" s="43" t="str">
        <x:v>$/seat/month</x:v>
      </x:c>
      <x:c r="F9" s="43" t="str">
        <x:v>Published price + mix assumption</x:v>
      </x:c>
      <x:c r="G9" s="43" t="str">
        <x:v>Market anchored</x:v>
      </x:c>
      <x:c r="H9" s="43" t="str">
        <x:v>MIMAR Team Plus $12 and Pro $30</x:v>
      </x:c>
    </x:row>
    <x:row r="10">
      <x:c r="A10" s="43" t="str">
        <x:v>CORE — ending enterprise contracts</x:v>
      </x:c>
      <x:c r="B10" s="55" t="n">
        <x:v>1</x:v>
      </x:c>
      <x:c r="C10" s="55" t="n">
        <x:v>4</x:v>
      </x:c>
      <x:c r="D10" s="55" t="n">
        <x:v>14</x:v>
      </x:c>
      <x:c r="E10" s="43" t="str">
        <x:v>contracts</x:v>
      </x:c>
      <x:c r="F10" s="43" t="str">
        <x:v>Management target</x:v>
      </x:c>
      <x:c r="G10" s="43" t="str">
        <x:v>Validate with cohorts</x:v>
      </x:c>
      <x:c r="H10" s="43" t="str">
        <x:v>No signed enterprise contracts included</x:v>
      </x:c>
    </x:row>
    <x:row r="11">
      <x:c r="A11" s="43" t="str">
        <x:v>CORE — enterprise ACV</x:v>
      </x:c>
      <x:c r="B11" s="56" t="n">
        <x:v>18000</x:v>
      </x:c>
      <x:c r="C11" s="56" t="n">
        <x:v>20000</x:v>
      </x:c>
      <x:c r="D11" s="56" t="n">
        <x:v>24000</x:v>
      </x:c>
      <x:c r="E11" s="43" t="str">
        <x:v>$/year</x:v>
      </x:c>
      <x:c r="F11" s="43" t="str">
        <x:v>Market-anchored assumption</x:v>
      </x:c>
      <x:c r="G11" s="43" t="str">
        <x:v>Model assumption</x:v>
      </x:c>
      <x:c r="H11" s="43" t="str">
        <x:v>Custom annual contract; requires security/SSO/SLA proof</x:v>
      </x:c>
    </x:row>
    <x:row r="12">
      <x:c r="A12" s="43" t="str">
        <x:v>CORE — ending active API wallets</x:v>
      </x:c>
      <x:c r="B12" s="55" t="n">
        <x:v>30</x:v>
      </x:c>
      <x:c r="C12" s="55" t="n">
        <x:v>170</x:v>
      </x:c>
      <x:c r="D12" s="55" t="n">
        <x:v>630</x:v>
      </x:c>
      <x:c r="E12" s="43" t="str">
        <x:v>wallets</x:v>
      </x:c>
      <x:c r="F12" s="43" t="str">
        <x:v>Management target</x:v>
      </x:c>
      <x:c r="G12" s="43" t="str">
        <x:v>Validate with cohorts</x:v>
      </x:c>
      <x:c r="H12" s="43" t="str">
        <x:v>API wallet is not yet GA; adoption unvalidated</x:v>
      </x:c>
    </x:row>
    <x:row r="13">
      <x:c r="A13" s="43" t="str">
        <x:v>CORE — average API spend</x:v>
      </x:c>
      <x:c r="B13" s="55" t="n">
        <x:v>35</x:v>
      </x:c>
      <x:c r="C13" s="55" t="n">
        <x:v>75</x:v>
      </x:c>
      <x:c r="D13" s="55" t="n">
        <x:v>95</x:v>
      </x:c>
      <x:c r="E13" s="43" t="str">
        <x:v>$/wallet/month</x:v>
      </x:c>
      <x:c r="F13" s="43" t="str">
        <x:v>Usage assumption</x:v>
      </x:c>
      <x:c r="G13" s="43" t="str">
        <x:v>Validate with cohorts</x:v>
      </x:c>
      <x:c r="H13" s="43" t="str">
        <x:v>Prepaid token pricing is set; consumption mix is unknown</x:v>
      </x:c>
    </x:row>
    <x:row r="14">
      <x:c r="A14" s="43" t="str">
        <x:v>CORE — onboarding fee per new B2B account</x:v>
      </x:c>
      <x:c r="B14" s="55" t="n">
        <x:v>1000</x:v>
      </x:c>
      <x:c r="C14" s="55" t="n">
        <x:v>900</x:v>
      </x:c>
      <x:c r="D14" s="55" t="n">
        <x:v>750</x:v>
      </x:c>
      <x:c r="E14" s="43" t="str">
        <x:v>$/new account</x:v>
      </x:c>
      <x:c r="F14" s="43" t="str">
        <x:v>Published range + mix</x:v>
      </x:c>
      <x:c r="G14" s="43" t="str">
        <x:v>Market anchored</x:v>
      </x:c>
      <x:c r="H14" s="43" t="str">
        <x:v>Business plan range $1.5k–$5k; model discounts as onboarding becomes repeatable</x:v>
      </x:c>
    </x:row>
    <x:row r="15">
      <x:c r="A15" s="43" t="str">
        <x:v>CORE — COGS as % revenue</x:v>
      </x:c>
      <x:c r="B15" s="57" t="n">
        <x:v>0.3</x:v>
      </x:c>
      <x:c r="C15" s="57" t="n">
        <x:v>0.25</x:v>
      </x:c>
      <x:c r="D15" s="57" t="n">
        <x:v>0.23</x:v>
      </x:c>
      <x:c r="E15" s="43" t="str">
        <x:v>%</x:v>
      </x:c>
      <x:c r="F15" s="43" t="str">
        <x:v>Management target</x:v>
      </x:c>
      <x:c r="G15" s="43" t="str">
        <x:v>Model assumption</x:v>
      </x:c>
      <x:c r="H15" s="43" t="str">
        <x:v>Includes inference, hosting, storage and direct support</x:v>
      </x:c>
    </x:row>
    <x:row r="16">
      <x:c r="A16" s="43" t="str"/>
      <x:c r="B16" s="55"/>
      <x:c r="C16" s="55"/>
      <x:c r="D16" s="55"/>
      <x:c r="E16" s="43" t="str"/>
      <x:c r="F16" s="43" t="str"/>
      <x:c r="G16" s="43"/>
      <x:c r="H16" s="43" t="str"/>
    </x:row>
    <x:row r="17">
      <x:c r="A17" s="43" t="str">
        <x:v>ENGAGE — ending Starter accounts</x:v>
      </x:c>
      <x:c r="B17" s="55" t="n">
        <x:v>16</x:v>
      </x:c>
      <x:c r="C17" s="55" t="n">
        <x:v>45</x:v>
      </x:c>
      <x:c r="D17" s="55" t="n">
        <x:v>85</x:v>
      </x:c>
      <x:c r="E17" s="43" t="str">
        <x:v>accounts</x:v>
      </x:c>
      <x:c r="F17" s="43" t="str">
        <x:v>Management target</x:v>
      </x:c>
      <x:c r="G17" s="43" t="str">
        <x:v>Validate with cohorts</x:v>
      </x:c>
      <x:c r="H17" s="43" t="str">
        <x:v>Bottom-up ramp; no observed retention yet</x:v>
      </x:c>
    </x:row>
    <x:row r="18">
      <x:c r="A18" s="43" t="str">
        <x:v>ENGAGE — Starter price</x:v>
      </x:c>
      <x:c r="B18" s="55" t="n">
        <x:v>99</x:v>
      </x:c>
      <x:c r="C18" s="55" t="n">
        <x:v>99</x:v>
      </x:c>
      <x:c r="D18" s="55" t="n">
        <x:v>99</x:v>
      </x:c>
      <x:c r="E18" s="43" t="str">
        <x:v>$/month</x:v>
      </x:c>
      <x:c r="F18" s="43" t="str">
        <x:v>Published test price</x:v>
      </x:c>
      <x:c r="G18" s="43" t="str">
        <x:v>Published input</x:v>
      </x:c>
      <x:c r="H18" s="43" t="str">
        <x:v>MIMAR Engage plan</x:v>
      </x:c>
    </x:row>
    <x:row r="19">
      <x:c r="A19" s="43" t="str">
        <x:v>ENGAGE — ending Growth accounts</x:v>
      </x:c>
      <x:c r="B19" s="55" t="n">
        <x:v>16</x:v>
      </x:c>
      <x:c r="C19" s="55" t="n">
        <x:v>55</x:v>
      </x:c>
      <x:c r="D19" s="55" t="n">
        <x:v>165</x:v>
      </x:c>
      <x:c r="E19" s="43" t="str">
        <x:v>accounts</x:v>
      </x:c>
      <x:c r="F19" s="43" t="str">
        <x:v>Management target</x:v>
      </x:c>
      <x:c r="G19" s="43" t="str">
        <x:v>Validate with cohorts</x:v>
      </x:c>
      <x:c r="H19" s="43" t="str">
        <x:v>Bottom-up ramp; no observed retention yet</x:v>
      </x:c>
    </x:row>
    <x:row r="20">
      <x:c r="A20" s="43" t="str">
        <x:v>ENGAGE — Growth price</x:v>
      </x:c>
      <x:c r="B20" s="55" t="n">
        <x:v>249</x:v>
      </x:c>
      <x:c r="C20" s="55" t="n">
        <x:v>249</x:v>
      </x:c>
      <x:c r="D20" s="55" t="n">
        <x:v>249</x:v>
      </x:c>
      <x:c r="E20" s="43" t="str">
        <x:v>$/month</x:v>
      </x:c>
      <x:c r="F20" s="43" t="str">
        <x:v>Published test price</x:v>
      </x:c>
      <x:c r="G20" s="43" t="str">
        <x:v>Published input</x:v>
      </x:c>
      <x:c r="H20" s="43" t="str">
        <x:v>MIMAR Engage plan</x:v>
      </x:c>
    </x:row>
    <x:row r="21">
      <x:c r="A21" s="43" t="str">
        <x:v>ENGAGE — ending Scale accounts</x:v>
      </x:c>
      <x:c r="B21" s="55" t="n">
        <x:v>3</x:v>
      </x:c>
      <x:c r="C21" s="55" t="n">
        <x:v>17</x:v>
      </x:c>
      <x:c r="D21" s="55" t="n">
        <x:v>43</x:v>
      </x:c>
      <x:c r="E21" s="43" t="str">
        <x:v>accounts</x:v>
      </x:c>
      <x:c r="F21" s="43" t="str">
        <x:v>Management target</x:v>
      </x:c>
      <x:c r="G21" s="43" t="str">
        <x:v>Validate with cohorts</x:v>
      </x:c>
      <x:c r="H21" s="43" t="str">
        <x:v>Higher-support segment; unvalidated</x:v>
      </x:c>
    </x:row>
    <x:row r="22">
      <x:c r="A22" s="43" t="str">
        <x:v>ENGAGE — Scale price</x:v>
      </x:c>
      <x:c r="B22" s="55" t="n">
        <x:v>599</x:v>
      </x:c>
      <x:c r="C22" s="55" t="n">
        <x:v>599</x:v>
      </x:c>
      <x:c r="D22" s="55" t="n">
        <x:v>599</x:v>
      </x:c>
      <x:c r="E22" s="43" t="str">
        <x:v>$/month</x:v>
      </x:c>
      <x:c r="F22" s="43" t="str">
        <x:v>Published test price</x:v>
      </x:c>
      <x:c r="G22" s="43" t="str">
        <x:v>Published input</x:v>
      </x:c>
      <x:c r="H22" s="43" t="str">
        <x:v>MIMAR Engage plan</x:v>
      </x:c>
    </x:row>
    <x:row r="23">
      <x:c r="A23" s="43" t="str">
        <x:v>ENGAGE — ending Enterprise accounts</x:v>
      </x:c>
      <x:c r="B23" s="55" t="n">
        <x:v>1</x:v>
      </x:c>
      <x:c r="C23" s="55" t="n">
        <x:v>3</x:v>
      </x:c>
      <x:c r="D23" s="55" t="n">
        <x:v>7</x:v>
      </x:c>
      <x:c r="E23" s="43" t="str">
        <x:v>accounts</x:v>
      </x:c>
      <x:c r="F23" s="43" t="str">
        <x:v>Management target</x:v>
      </x:c>
      <x:c r="G23" s="43" t="str">
        <x:v>Validate with cohorts</x:v>
      </x:c>
      <x:c r="H23" s="43" t="str">
        <x:v>No signed contracts; procurement/security risk</x:v>
      </x:c>
    </x:row>
    <x:row r="24">
      <x:c r="A24" s="43" t="str">
        <x:v>ENGAGE — Enterprise monthly ARPA</x:v>
      </x:c>
      <x:c r="B24" s="56" t="n">
        <x:v>1000</x:v>
      </x:c>
      <x:c r="C24" s="56" t="n">
        <x:v>1000</x:v>
      </x:c>
      <x:c r="D24" s="56" t="n">
        <x:v>1000</x:v>
      </x:c>
      <x:c r="E24" s="43" t="str">
        <x:v>$/month</x:v>
      </x:c>
      <x:c r="F24" s="43" t="str">
        <x:v>Published floor</x:v>
      </x:c>
      <x:c r="G24" s="43" t="str">
        <x:v>Market anchored</x:v>
      </x:c>
      <x:c r="H24" s="43" t="str">
        <x:v>$12k minimum ACV in Engage plan</x:v>
      </x:c>
    </x:row>
    <x:row r="25">
      <x:c r="A25" s="43" t="str">
        <x:v>ENGAGE — usage/add-on revenue</x:v>
      </x:c>
      <x:c r="B25" s="57" t="n">
        <x:v>0</x:v>
      </x:c>
      <x:c r="C25" s="57" t="n">
        <x:v>0.05</x:v>
      </x:c>
      <x:c r="D25" s="57" t="n">
        <x:v>0.08</x:v>
      </x:c>
      <x:c r="E25" s="43" t="str">
        <x:v>% of subscription</x:v>
      </x:c>
      <x:c r="F25" s="43" t="str">
        <x:v>Management assumption</x:v>
      </x:c>
      <x:c r="G25" s="43" t="str">
        <x:v>Validate with cohorts</x:v>
      </x:c>
      <x:c r="H25" s="43" t="str">
        <x:v>Channel fees excluded; only MIMAR overages/add-ons</x:v>
      </x:c>
    </x:row>
    <x:row r="26">
      <x:c r="A26" s="43" t="str">
        <x:v>ENGAGE — standard onboarding fee</x:v>
      </x:c>
      <x:c r="B26" s="56" t="n">
        <x:v>600</x:v>
      </x:c>
      <x:c r="C26" s="56" t="n">
        <x:v>500</x:v>
      </x:c>
      <x:c r="D26" s="56" t="n">
        <x:v>400</x:v>
      </x:c>
      <x:c r="E26" s="43" t="str">
        <x:v>$/new account</x:v>
      </x:c>
      <x:c r="F26" s="43" t="str">
        <x:v>Published range + mix</x:v>
      </x:c>
      <x:c r="G26" s="43" t="str">
        <x:v>Market anchored</x:v>
      </x:c>
      <x:c r="H26" s="43" t="str">
        <x:v>Plan range $500–$1.5k; declines with templates/self-serve</x:v>
      </x:c>
    </x:row>
    <x:row r="27">
      <x:c r="A27" s="43" t="str">
        <x:v>ENGAGE — enterprise onboarding fee</x:v>
      </x:c>
      <x:c r="B27" s="56" t="n">
        <x:v>3000</x:v>
      </x:c>
      <x:c r="C27" s="56" t="n">
        <x:v>4000</x:v>
      </x:c>
      <x:c r="D27" s="56" t="n">
        <x:v>5000</x:v>
      </x:c>
      <x:c r="E27" s="43" t="str">
        <x:v>$/new account</x:v>
      </x:c>
      <x:c r="F27" s="43" t="str">
        <x:v>Management assumption</x:v>
      </x:c>
      <x:c r="G27" s="43" t="str">
        <x:v>Model assumption</x:v>
      </x:c>
      <x:c r="H27" s="43" t="str">
        <x:v>Integration/security scope</x:v>
      </x:c>
    </x:row>
    <x:row r="28">
      <x:c r="A28" s="43" t="str">
        <x:v>ENGAGE — COGS as % revenue</x:v>
      </x:c>
      <x:c r="B28" s="57" t="n">
        <x:v>0.2</x:v>
      </x:c>
      <x:c r="C28" s="57" t="n">
        <x:v>0.21</x:v>
      </x:c>
      <x:c r="D28" s="57" t="n">
        <x:v>0.22</x:v>
      </x:c>
      <x:c r="E28" s="43" t="str">
        <x:v>%</x:v>
      </x:c>
      <x:c r="F28" s="43" t="str">
        <x:v>Management target</x:v>
      </x:c>
      <x:c r="G28" s="43" t="str">
        <x:v>Model assumption</x:v>
      </x:c>
      <x:c r="H28" s="43" t="str">
        <x:v>Excludes pass-through Meta fees from both revenue and margin</x:v>
      </x:c>
    </x:row>
    <x:row r="29">
      <x:c r="A29" s="43"/>
      <x:c r="B29" s="43"/>
      <x:c r="C29" s="43"/>
      <x:c r="D29" s="43"/>
      <x:c r="E29" s="43"/>
      <x:c r="F29" s="43"/>
      <x:c r="G29" s="43"/>
      <x:c r="H29" s="43"/>
    </x:row>
    <x:row r="30" ht="24" customHeight="1">
      <x:c r="A30" s="45" t="str">
        <x:v>SCENARIO MULTIPLIERS</x:v>
      </x:c>
      <x:c r="B30" s="45"/>
      <x:c r="C30" s="45"/>
      <x:c r="D30" s="45"/>
      <x:c r="E30" s="45"/>
      <x:c r="F30" s="45"/>
      <x:c r="G30" s="45"/>
      <x:c r="H30" s="45" t="str">
        <x:v>Applied to Base revenue; ranges are directional until conversion and retention cohorts exist.</x:v>
      </x:c>
    </x:row>
    <x:row r="31" ht="24" customHeight="1">
      <x:c r="A31" s="45" t="str">
        <x:v>Scenario</x:v>
      </x:c>
      <x:c r="B31" s="45" t="str">
        <x:v>Y1</x:v>
      </x:c>
      <x:c r="C31" s="45" t="str">
        <x:v>Y2</x:v>
      </x:c>
      <x:c r="D31" s="45" t="str">
        <x:v>Y3</x:v>
      </x:c>
      <x:c r="E31" s="43"/>
      <x:c r="F31" s="43"/>
      <x:c r="G31" s="43"/>
      <x:c r="H31" s="43"/>
    </x:row>
    <x:row r="32">
      <x:c r="A32" s="43" t="str">
        <x:v>Conservative</x:v>
      </x:c>
      <x:c r="B32" s="58" t="n">
        <x:v>0.65</x:v>
      </x:c>
      <x:c r="C32" s="58" t="n">
        <x:v>0.55</x:v>
      </x:c>
      <x:c r="D32" s="58" t="n">
        <x:v>0.45</x:v>
      </x:c>
      <x:c r="E32" s="43"/>
      <x:c r="F32" s="43"/>
      <x:c r="G32" s="43"/>
      <x:c r="H32" s="43"/>
    </x:row>
    <x:row r="33">
      <x:c r="A33" s="43" t="str">
        <x:v>Base</x:v>
      </x:c>
      <x:c r="B33" s="58" t="n">
        <x:v>1</x:v>
      </x:c>
      <x:c r="C33" s="58" t="n">
        <x:v>1</x:v>
      </x:c>
      <x:c r="D33" s="58" t="n">
        <x:v>1</x:v>
      </x:c>
      <x:c r="E33" s="43"/>
      <x:c r="F33" s="43"/>
      <x:c r="G33" s="43"/>
      <x:c r="H33" s="43"/>
    </x:row>
    <x:row r="34">
      <x:c r="A34" s="43" t="str">
        <x:v>Upside</x:v>
      </x:c>
      <x:c r="B34" s="58" t="n">
        <x:v>1.25</x:v>
      </x:c>
      <x:c r="C34" s="58" t="n">
        <x:v>1.45</x:v>
      </x:c>
      <x:c r="D34" s="58" t="n">
        <x:v>1.6</x:v>
      </x:c>
      <x:c r="E34" s="43"/>
      <x:c r="F34" s="43"/>
      <x:c r="G34" s="43"/>
      <x:c r="H34" s="43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7" hidden="0" customWidth="1"/>
  </x:cols>
  <x:sheetData>
    <x:row r="1" ht="34" customHeight="1">
      <x:c r="A1" s="42" t="str">
        <x:v>MIMAR Core — Monthly Revenue Build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43"/>
      <x:c r="R1" s="43"/>
      <x:c r="S1" s="43"/>
    </x:row>
    <x:row r="2" ht="26" customHeight="1">
      <x:c r="A2" s="44" t="str">
        <x:v>36-month base case. Customer counts interpolate between annual ending targets; this is a planning model, not cohort evidence.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  <x:c r="R3" s="43"/>
      <x:c r="S3" s="43"/>
    </x:row>
    <x:row r="4" ht="24" customHeight="1">
      <x:c r="A4" s="45" t="str">
        <x:v>Month</x:v>
      </x:c>
      <x:c r="B4" s="45" t="str">
        <x:v>Year</x:v>
      </x:c>
      <x:c r="C4" s="45" t="str">
        <x:v>Individual users</x:v>
      </x:c>
      <x:c r="D4" s="45" t="str">
        <x:v>Ind. ARPU</x:v>
      </x:c>
      <x:c r="E4" s="45" t="str">
        <x:v>Individual rev.</x:v>
      </x:c>
      <x:c r="F4" s="45" t="str">
        <x:v>Team accounts</x:v>
      </x:c>
      <x:c r="G4" s="45" t="str">
        <x:v>Seats / team</x:v>
      </x:c>
      <x:c r="H4" s="45" t="str">
        <x:v>Seat price</x:v>
      </x:c>
      <x:c r="I4" s="45" t="str">
        <x:v>Team rev.</x:v>
      </x:c>
      <x:c r="J4" s="45" t="str">
        <x:v>Enterprise accounts</x:v>
      </x:c>
      <x:c r="K4" s="45" t="str">
        <x:v>Enterprise ACV</x:v>
      </x:c>
      <x:c r="L4" s="45" t="str">
        <x:v>Enterprise rev.</x:v>
      </x:c>
      <x:c r="M4" s="45" t="str">
        <x:v>API wallets</x:v>
      </x:c>
      <x:c r="N4" s="45" t="str">
        <x:v>Spend / wallet</x:v>
      </x:c>
      <x:c r="O4" s="45" t="str">
        <x:v>API rev.</x:v>
      </x:c>
      <x:c r="P4" s="45" t="str">
        <x:v>New B2B accts</x:v>
      </x:c>
      <x:c r="Q4" s="45" t="str">
        <x:v>Onboarding fee</x:v>
      </x:c>
      <x:c r="R4" s="45" t="str">
        <x:v>Onboarding rev.</x:v>
      </x:c>
      <x:c r="S4" s="45" t="str">
        <x:v>CORE TOTAL</x:v>
      </x:c>
    </x:row>
    <x:row r="5">
      <x:c r="A5" s="59" t="n">
        <x:v>46266</x:v>
      </x:c>
      <x:c r="B5" s="43" t="n">
        <x:v>1</x:v>
      </x:c>
      <x:c r="C5" s="60" t="n">
        <x:f>Assumptions!$B$5*1/12</x:f>
        <x:v>10</x:v>
      </x:c>
      <x:c r="D5" s="61" t="n">
        <x:f>Assumptions!$B$6</x:f>
        <x:v>18</x:v>
      </x:c>
      <x:c r="E5" s="61" t="n">
        <x:f>C5*D5</x:f>
        <x:v>180</x:v>
      </x:c>
      <x:c r="F5" s="60" t="n">
        <x:f>Assumptions!$B$7*1/12</x:f>
        <x:v>2.0833333333333335</x:v>
      </x:c>
      <x:c r="G5" s="60" t="n">
        <x:f>Assumptions!$B$8</x:f>
        <x:v>8</x:v>
      </x:c>
      <x:c r="H5" s="61" t="n">
        <x:f>Assumptions!$B$9</x:f>
        <x:v>22</x:v>
      </x:c>
      <x:c r="I5" s="61" t="n">
        <x:f>F5*G5*H5</x:f>
        <x:v>366.6666666666667</x:v>
      </x:c>
      <x:c r="J5" s="62" t="n">
        <x:f>Assumptions!$B$10*1/12</x:f>
        <x:v>0.08333333333333333</x:v>
      </x:c>
      <x:c r="K5" s="61" t="n">
        <x:f>Assumptions!$B$11</x:f>
        <x:v>18000</x:v>
      </x:c>
      <x:c r="L5" s="61" t="n">
        <x:f>J5*K5/12</x:f>
        <x:v>125</x:v>
      </x:c>
      <x:c r="M5" s="60" t="n">
        <x:f>Assumptions!$B$12*1/12</x:f>
        <x:v>2.5</x:v>
      </x:c>
      <x:c r="N5" s="61" t="n">
        <x:f>Assumptions!$B$13</x:f>
        <x:v>35</x:v>
      </x:c>
      <x:c r="O5" s="61" t="n">
        <x:f>M5*N5</x:f>
        <x:v>87.5</x:v>
      </x:c>
      <x:c r="P5" s="62" t="n">
        <x:f>F5+J5</x:f>
        <x:v>2.166666666666667</x:v>
      </x:c>
      <x:c r="Q5" s="61" t="n">
        <x:f>Assumptions!$B$14</x:f>
        <x:v>1000</x:v>
      </x:c>
      <x:c r="R5" s="61" t="n">
        <x:f>P5*Q5</x:f>
        <x:v>2166.666666666667</x:v>
      </x:c>
      <x:c r="S5" s="61" t="n">
        <x:f>SUM(E5,I5,L5,O5,R5)</x:f>
        <x:v>2925.833333333334</x:v>
      </x:c>
    </x:row>
    <x:row r="6">
      <x:c r="A6" s="59" t="n">
        <x:v>46296</x:v>
      </x:c>
      <x:c r="B6" s="43" t="n">
        <x:v>1</x:v>
      </x:c>
      <x:c r="C6" s="60" t="n">
        <x:f>Assumptions!$B$5*2/12</x:f>
        <x:v>20</x:v>
      </x:c>
      <x:c r="D6" s="61" t="n">
        <x:f>Assumptions!$B$6</x:f>
        <x:v>18</x:v>
      </x:c>
      <x:c r="E6" s="61" t="n">
        <x:f>C6*D6</x:f>
        <x:v>360</x:v>
      </x:c>
      <x:c r="F6" s="60" t="n">
        <x:f>Assumptions!$B$7*2/12</x:f>
        <x:v>4.166666666666667</x:v>
      </x:c>
      <x:c r="G6" s="60" t="n">
        <x:f>Assumptions!$B$8</x:f>
        <x:v>8</x:v>
      </x:c>
      <x:c r="H6" s="61" t="n">
        <x:f>Assumptions!$B$9</x:f>
        <x:v>22</x:v>
      </x:c>
      <x:c r="I6" s="61" t="n">
        <x:f>F6*G6*H6</x:f>
        <x:v>733.3333333333334</x:v>
      </x:c>
      <x:c r="J6" s="62" t="n">
        <x:f>Assumptions!$B$10*2/12</x:f>
        <x:v>0.16666666666666666</x:v>
      </x:c>
      <x:c r="K6" s="61" t="n">
        <x:f>Assumptions!$B$11</x:f>
        <x:v>18000</x:v>
      </x:c>
      <x:c r="L6" s="61" t="n">
        <x:f>J6*K6/12</x:f>
        <x:v>250</x:v>
      </x:c>
      <x:c r="M6" s="60" t="n">
        <x:f>Assumptions!$B$12*2/12</x:f>
        <x:v>5</x:v>
      </x:c>
      <x:c r="N6" s="61" t="n">
        <x:f>Assumptions!$B$13</x:f>
        <x:v>35</x:v>
      </x:c>
      <x:c r="O6" s="61" t="n">
        <x:f>M6*N6</x:f>
        <x:v>175</x:v>
      </x:c>
      <x:c r="P6" s="62" t="n">
        <x:f>MAX(0,F6+J6-F5-J5)</x:f>
        <x:v>2.166666666666667</x:v>
      </x:c>
      <x:c r="Q6" s="61" t="n">
        <x:f>Assumptions!$B$14</x:f>
        <x:v>1000</x:v>
      </x:c>
      <x:c r="R6" s="61" t="n">
        <x:f>P6*Q6</x:f>
        <x:v>2166.666666666667</x:v>
      </x:c>
      <x:c r="S6" s="61" t="n">
        <x:f>SUM(E6,I6,L6,O6,R6)</x:f>
        <x:v>3685.0000000000005</x:v>
      </x:c>
    </x:row>
    <x:row r="7">
      <x:c r="A7" s="59" t="n">
        <x:v>46327</x:v>
      </x:c>
      <x:c r="B7" s="43" t="n">
        <x:v>1</x:v>
      </x:c>
      <x:c r="C7" s="60" t="n">
        <x:f>Assumptions!$B$5*3/12</x:f>
        <x:v>30</x:v>
      </x:c>
      <x:c r="D7" s="61" t="n">
        <x:f>Assumptions!$B$6</x:f>
        <x:v>18</x:v>
      </x:c>
      <x:c r="E7" s="61" t="n">
        <x:f>C7*D7</x:f>
        <x:v>540</x:v>
      </x:c>
      <x:c r="F7" s="60" t="n">
        <x:f>Assumptions!$B$7*3/12</x:f>
        <x:v>6.25</x:v>
      </x:c>
      <x:c r="G7" s="60" t="n">
        <x:f>Assumptions!$B$8</x:f>
        <x:v>8</x:v>
      </x:c>
      <x:c r="H7" s="61" t="n">
        <x:f>Assumptions!$B$9</x:f>
        <x:v>22</x:v>
      </x:c>
      <x:c r="I7" s="61" t="n">
        <x:f>F7*G7*H7</x:f>
        <x:v>1100</x:v>
      </x:c>
      <x:c r="J7" s="62" t="n">
        <x:f>Assumptions!$B$10*3/12</x:f>
        <x:v>0.25</x:v>
      </x:c>
      <x:c r="K7" s="61" t="n">
        <x:f>Assumptions!$B$11</x:f>
        <x:v>18000</x:v>
      </x:c>
      <x:c r="L7" s="61" t="n">
        <x:f>J7*K7/12</x:f>
        <x:v>375</x:v>
      </x:c>
      <x:c r="M7" s="60" t="n">
        <x:f>Assumptions!$B$12*3/12</x:f>
        <x:v>7.5</x:v>
      </x:c>
      <x:c r="N7" s="61" t="n">
        <x:f>Assumptions!$B$13</x:f>
        <x:v>35</x:v>
      </x:c>
      <x:c r="O7" s="61" t="n">
        <x:f>M7*N7</x:f>
        <x:v>262.5</x:v>
      </x:c>
      <x:c r="P7" s="62" t="n">
        <x:f>MAX(0,F7+J7-F6-J6)</x:f>
        <x:v>2.1666666666666665</x:v>
      </x:c>
      <x:c r="Q7" s="61" t="n">
        <x:f>Assumptions!$B$14</x:f>
        <x:v>1000</x:v>
      </x:c>
      <x:c r="R7" s="61" t="n">
        <x:f>P7*Q7</x:f>
        <x:v>2166.6666666666665</x:v>
      </x:c>
      <x:c r="S7" s="61" t="n">
        <x:f>SUM(E7,I7,L7,O7,R7)</x:f>
        <x:v>4444.166666666666</x:v>
      </x:c>
    </x:row>
    <x:row r="8">
      <x:c r="A8" s="59" t="n">
        <x:v>46357</x:v>
      </x:c>
      <x:c r="B8" s="43" t="n">
        <x:v>1</x:v>
      </x:c>
      <x:c r="C8" s="60" t="n">
        <x:f>Assumptions!$B$5*4/12</x:f>
        <x:v>40</x:v>
      </x:c>
      <x:c r="D8" s="61" t="n">
        <x:f>Assumptions!$B$6</x:f>
        <x:v>18</x:v>
      </x:c>
      <x:c r="E8" s="61" t="n">
        <x:f>C8*D8</x:f>
        <x:v>720</x:v>
      </x:c>
      <x:c r="F8" s="60" t="n">
        <x:f>Assumptions!$B$7*4/12</x:f>
        <x:v>8.333333333333334</x:v>
      </x:c>
      <x:c r="G8" s="60" t="n">
        <x:f>Assumptions!$B$8</x:f>
        <x:v>8</x:v>
      </x:c>
      <x:c r="H8" s="61" t="n">
        <x:f>Assumptions!$B$9</x:f>
        <x:v>22</x:v>
      </x:c>
      <x:c r="I8" s="61" t="n">
        <x:f>F8*G8*H8</x:f>
        <x:v>1466.6666666666667</x:v>
      </x:c>
      <x:c r="J8" s="62" t="n">
        <x:f>Assumptions!$B$10*4/12</x:f>
        <x:v>0.3333333333333333</x:v>
      </x:c>
      <x:c r="K8" s="61" t="n">
        <x:f>Assumptions!$B$11</x:f>
        <x:v>18000</x:v>
      </x:c>
      <x:c r="L8" s="61" t="n">
        <x:f>J8*K8/12</x:f>
        <x:v>500</x:v>
      </x:c>
      <x:c r="M8" s="60" t="n">
        <x:f>Assumptions!$B$12*4/12</x:f>
        <x:v>10</x:v>
      </x:c>
      <x:c r="N8" s="61" t="n">
        <x:f>Assumptions!$B$13</x:f>
        <x:v>35</x:v>
      </x:c>
      <x:c r="O8" s="61" t="n">
        <x:f>M8*N8</x:f>
        <x:v>350</x:v>
      </x:c>
      <x:c r="P8" s="62" t="n">
        <x:f>MAX(0,F8+J8-F7-J7)</x:f>
        <x:v>2.166666666666668</x:v>
      </x:c>
      <x:c r="Q8" s="61" t="n">
        <x:f>Assumptions!$B$14</x:f>
        <x:v>1000</x:v>
      </x:c>
      <x:c r="R8" s="61" t="n">
        <x:f>P8*Q8</x:f>
        <x:v>2166.666666666668</x:v>
      </x:c>
      <x:c r="S8" s="61" t="n">
        <x:f>SUM(E8,I8,L8,O8,R8)</x:f>
        <x:v>5203.333333333335</x:v>
      </x:c>
    </x:row>
    <x:row r="9">
      <x:c r="A9" s="59" t="n">
        <x:v>46388</x:v>
      </x:c>
      <x:c r="B9" s="43" t="n">
        <x:v>1</x:v>
      </x:c>
      <x:c r="C9" s="60" t="n">
        <x:f>Assumptions!$B$5*5/12</x:f>
        <x:v>50</x:v>
      </x:c>
      <x:c r="D9" s="61" t="n">
        <x:f>Assumptions!$B$6</x:f>
        <x:v>18</x:v>
      </x:c>
      <x:c r="E9" s="61" t="n">
        <x:f>C9*D9</x:f>
        <x:v>900</x:v>
      </x:c>
      <x:c r="F9" s="60" t="n">
        <x:f>Assumptions!$B$7*5/12</x:f>
        <x:v>10.416666666666666</x:v>
      </x:c>
      <x:c r="G9" s="60" t="n">
        <x:f>Assumptions!$B$8</x:f>
        <x:v>8</x:v>
      </x:c>
      <x:c r="H9" s="61" t="n">
        <x:f>Assumptions!$B$9</x:f>
        <x:v>22</x:v>
      </x:c>
      <x:c r="I9" s="61" t="n">
        <x:f>F9*G9*H9</x:f>
        <x:v>1833.3333333333333</x:v>
      </x:c>
      <x:c r="J9" s="62" t="n">
        <x:f>Assumptions!$B$10*5/12</x:f>
        <x:v>0.4166666666666667</x:v>
      </x:c>
      <x:c r="K9" s="61" t="n">
        <x:f>Assumptions!$B$11</x:f>
        <x:v>18000</x:v>
      </x:c>
      <x:c r="L9" s="61" t="n">
        <x:f>J9*K9/12</x:f>
        <x:v>625</x:v>
      </x:c>
      <x:c r="M9" s="60" t="n">
        <x:f>Assumptions!$B$12*5/12</x:f>
        <x:v>12.5</x:v>
      </x:c>
      <x:c r="N9" s="61" t="n">
        <x:f>Assumptions!$B$13</x:f>
        <x:v>35</x:v>
      </x:c>
      <x:c r="O9" s="61" t="n">
        <x:f>M9*N9</x:f>
        <x:v>437.5</x:v>
      </x:c>
      <x:c r="P9" s="62" t="n">
        <x:f>MAX(0,F9+J9-F8-J8)</x:f>
        <x:v>2.1666666666666647</x:v>
      </x:c>
      <x:c r="Q9" s="61" t="n">
        <x:f>Assumptions!$B$14</x:f>
        <x:v>1000</x:v>
      </x:c>
      <x:c r="R9" s="61" t="n">
        <x:f>P9*Q9</x:f>
        <x:v>2166.6666666666647</x:v>
      </x:c>
      <x:c r="S9" s="61" t="n">
        <x:f>SUM(E9,I9,L9,O9,R9)</x:f>
        <x:v>5962.499999999998</x:v>
      </x:c>
    </x:row>
    <x:row r="10">
      <x:c r="A10" s="59" t="n">
        <x:v>46419</x:v>
      </x:c>
      <x:c r="B10" s="43" t="n">
        <x:v>1</x:v>
      </x:c>
      <x:c r="C10" s="60" t="n">
        <x:f>Assumptions!$B$5*6/12</x:f>
        <x:v>60</x:v>
      </x:c>
      <x:c r="D10" s="61" t="n">
        <x:f>Assumptions!$B$6</x:f>
        <x:v>18</x:v>
      </x:c>
      <x:c r="E10" s="61" t="n">
        <x:f>C10*D10</x:f>
        <x:v>1080</x:v>
      </x:c>
      <x:c r="F10" s="60" t="n">
        <x:f>Assumptions!$B$7*6/12</x:f>
        <x:v>12.5</x:v>
      </x:c>
      <x:c r="G10" s="60" t="n">
        <x:f>Assumptions!$B$8</x:f>
        <x:v>8</x:v>
      </x:c>
      <x:c r="H10" s="61" t="n">
        <x:f>Assumptions!$B$9</x:f>
        <x:v>22</x:v>
      </x:c>
      <x:c r="I10" s="61" t="n">
        <x:f>F10*G10*H10</x:f>
        <x:v>2200</x:v>
      </x:c>
      <x:c r="J10" s="62" t="n">
        <x:f>Assumptions!$B$10*6/12</x:f>
        <x:v>0.5</x:v>
      </x:c>
      <x:c r="K10" s="61" t="n">
        <x:f>Assumptions!$B$11</x:f>
        <x:v>18000</x:v>
      </x:c>
      <x:c r="L10" s="61" t="n">
        <x:f>J10*K10/12</x:f>
        <x:v>750</x:v>
      </x:c>
      <x:c r="M10" s="60" t="n">
        <x:f>Assumptions!$B$12*6/12</x:f>
        <x:v>15</x:v>
      </x:c>
      <x:c r="N10" s="61" t="n">
        <x:f>Assumptions!$B$13</x:f>
        <x:v>35</x:v>
      </x:c>
      <x:c r="O10" s="61" t="n">
        <x:f>M10*N10</x:f>
        <x:v>525</x:v>
      </x:c>
      <x:c r="P10" s="62" t="n">
        <x:f>MAX(0,F10+J10-F9-J9)</x:f>
        <x:v>2.1666666666666674</x:v>
      </x:c>
      <x:c r="Q10" s="61" t="n">
        <x:f>Assumptions!$B$14</x:f>
        <x:v>1000</x:v>
      </x:c>
      <x:c r="R10" s="61" t="n">
        <x:f>P10*Q10</x:f>
        <x:v>2166.6666666666674</x:v>
      </x:c>
      <x:c r="S10" s="61" t="n">
        <x:f>SUM(E10,I10,L10,O10,R10)</x:f>
        <x:v>6721.666666666668</x:v>
      </x:c>
    </x:row>
    <x:row r="11">
      <x:c r="A11" s="59" t="n">
        <x:v>46447</x:v>
      </x:c>
      <x:c r="B11" s="43" t="n">
        <x:v>1</x:v>
      </x:c>
      <x:c r="C11" s="60" t="n">
        <x:f>Assumptions!$B$5*7/12</x:f>
        <x:v>70</x:v>
      </x:c>
      <x:c r="D11" s="61" t="n">
        <x:f>Assumptions!$B$6</x:f>
        <x:v>18</x:v>
      </x:c>
      <x:c r="E11" s="61" t="n">
        <x:f>C11*D11</x:f>
        <x:v>1260</x:v>
      </x:c>
      <x:c r="F11" s="60" t="n">
        <x:f>Assumptions!$B$7*7/12</x:f>
        <x:v>14.583333333333334</x:v>
      </x:c>
      <x:c r="G11" s="60" t="n">
        <x:f>Assumptions!$B$8</x:f>
        <x:v>8</x:v>
      </x:c>
      <x:c r="H11" s="61" t="n">
        <x:f>Assumptions!$B$9</x:f>
        <x:v>22</x:v>
      </x:c>
      <x:c r="I11" s="61" t="n">
        <x:f>F11*G11*H11</x:f>
        <x:v>2566.666666666667</x:v>
      </x:c>
      <x:c r="J11" s="62" t="n">
        <x:f>Assumptions!$B$10*7/12</x:f>
        <x:v>0.5833333333333334</x:v>
      </x:c>
      <x:c r="K11" s="61" t="n">
        <x:f>Assumptions!$B$11</x:f>
        <x:v>18000</x:v>
      </x:c>
      <x:c r="L11" s="61" t="n">
        <x:f>J11*K11/12</x:f>
        <x:v>875</x:v>
      </x:c>
      <x:c r="M11" s="60" t="n">
        <x:f>Assumptions!$B$12*7/12</x:f>
        <x:v>17.5</x:v>
      </x:c>
      <x:c r="N11" s="61" t="n">
        <x:f>Assumptions!$B$13</x:f>
        <x:v>35</x:v>
      </x:c>
      <x:c r="O11" s="61" t="n">
        <x:f>M11*N11</x:f>
        <x:v>612.5</x:v>
      </x:c>
      <x:c r="P11" s="62" t="n">
        <x:f>MAX(0,F11+J11-F10-J10)</x:f>
        <x:v>2.166666666666668</x:v>
      </x:c>
      <x:c r="Q11" s="61" t="n">
        <x:f>Assumptions!$B$14</x:f>
        <x:v>1000</x:v>
      </x:c>
      <x:c r="R11" s="61" t="n">
        <x:f>P11*Q11</x:f>
        <x:v>2166.666666666668</x:v>
      </x:c>
      <x:c r="S11" s="61" t="n">
        <x:f>SUM(E11,I11,L11,O11,R11)</x:f>
        <x:v>7480.833333333335</x:v>
      </x:c>
    </x:row>
    <x:row r="12">
      <x:c r="A12" s="59" t="n">
        <x:v>46478</x:v>
      </x:c>
      <x:c r="B12" s="43" t="n">
        <x:v>1</x:v>
      </x:c>
      <x:c r="C12" s="60" t="n">
        <x:f>Assumptions!$B$5*8/12</x:f>
        <x:v>80</x:v>
      </x:c>
      <x:c r="D12" s="61" t="n">
        <x:f>Assumptions!$B$6</x:f>
        <x:v>18</x:v>
      </x:c>
      <x:c r="E12" s="61" t="n">
        <x:f>C12*D12</x:f>
        <x:v>1440</x:v>
      </x:c>
      <x:c r="F12" s="60" t="n">
        <x:f>Assumptions!$B$7*8/12</x:f>
        <x:v>16.666666666666668</x:v>
      </x:c>
      <x:c r="G12" s="60" t="n">
        <x:f>Assumptions!$B$8</x:f>
        <x:v>8</x:v>
      </x:c>
      <x:c r="H12" s="61" t="n">
        <x:f>Assumptions!$B$9</x:f>
        <x:v>22</x:v>
      </x:c>
      <x:c r="I12" s="61" t="n">
        <x:f>F12*G12*H12</x:f>
        <x:v>2933.3333333333335</x:v>
      </x:c>
      <x:c r="J12" s="62" t="n">
        <x:f>Assumptions!$B$10*8/12</x:f>
        <x:v>0.6666666666666666</x:v>
      </x:c>
      <x:c r="K12" s="61" t="n">
        <x:f>Assumptions!$B$11</x:f>
        <x:v>18000</x:v>
      </x:c>
      <x:c r="L12" s="61" t="n">
        <x:f>J12*K12/12</x:f>
        <x:v>1000</x:v>
      </x:c>
      <x:c r="M12" s="60" t="n">
        <x:f>Assumptions!$B$12*8/12</x:f>
        <x:v>20</x:v>
      </x:c>
      <x:c r="N12" s="61" t="n">
        <x:f>Assumptions!$B$13</x:f>
        <x:v>35</x:v>
      </x:c>
      <x:c r="O12" s="61" t="n">
        <x:f>M12*N12</x:f>
        <x:v>700</x:v>
      </x:c>
      <x:c r="P12" s="62" t="n">
        <x:f>MAX(0,F12+J12-F11-J11)</x:f>
        <x:v>2.1666666666666683</x:v>
      </x:c>
      <x:c r="Q12" s="61" t="n">
        <x:f>Assumptions!$B$14</x:f>
        <x:v>1000</x:v>
      </x:c>
      <x:c r="R12" s="61" t="n">
        <x:f>P12*Q12</x:f>
        <x:v>2166.6666666666683</x:v>
      </x:c>
      <x:c r="S12" s="61" t="n">
        <x:f>SUM(E12,I12,L12,O12,R12)</x:f>
        <x:v>8240.000000000002</x:v>
      </x:c>
    </x:row>
    <x:row r="13">
      <x:c r="A13" s="59" t="n">
        <x:v>46508</x:v>
      </x:c>
      <x:c r="B13" s="43" t="n">
        <x:v>1</x:v>
      </x:c>
      <x:c r="C13" s="60" t="n">
        <x:f>Assumptions!$B$5*9/12</x:f>
        <x:v>90</x:v>
      </x:c>
      <x:c r="D13" s="61" t="n">
        <x:f>Assumptions!$B$6</x:f>
        <x:v>18</x:v>
      </x:c>
      <x:c r="E13" s="61" t="n">
        <x:f>C13*D13</x:f>
        <x:v>1620</x:v>
      </x:c>
      <x:c r="F13" s="60" t="n">
        <x:f>Assumptions!$B$7*9/12</x:f>
        <x:v>18.75</x:v>
      </x:c>
      <x:c r="G13" s="60" t="n">
        <x:f>Assumptions!$B$8</x:f>
        <x:v>8</x:v>
      </x:c>
      <x:c r="H13" s="61" t="n">
        <x:f>Assumptions!$B$9</x:f>
        <x:v>22</x:v>
      </x:c>
      <x:c r="I13" s="61" t="n">
        <x:f>F13*G13*H13</x:f>
        <x:v>3300</x:v>
      </x:c>
      <x:c r="J13" s="62" t="n">
        <x:f>Assumptions!$B$10*9/12</x:f>
        <x:v>0.75</x:v>
      </x:c>
      <x:c r="K13" s="61" t="n">
        <x:f>Assumptions!$B$11</x:f>
        <x:v>18000</x:v>
      </x:c>
      <x:c r="L13" s="61" t="n">
        <x:f>J13*K13/12</x:f>
        <x:v>1125</x:v>
      </x:c>
      <x:c r="M13" s="60" t="n">
        <x:f>Assumptions!$B$12*9/12</x:f>
        <x:v>22.5</x:v>
      </x:c>
      <x:c r="N13" s="61" t="n">
        <x:f>Assumptions!$B$13</x:f>
        <x:v>35</x:v>
      </x:c>
      <x:c r="O13" s="61" t="n">
        <x:f>M13*N13</x:f>
        <x:v>787.5</x:v>
      </x:c>
      <x:c r="P13" s="62" t="n">
        <x:f>MAX(0,F13+J13-F12-J12)</x:f>
        <x:v>2.1666666666666656</x:v>
      </x:c>
      <x:c r="Q13" s="61" t="n">
        <x:f>Assumptions!$B$14</x:f>
        <x:v>1000</x:v>
      </x:c>
      <x:c r="R13" s="61" t="n">
        <x:f>P13*Q13</x:f>
        <x:v>2166.6666666666656</x:v>
      </x:c>
      <x:c r="S13" s="61" t="n">
        <x:f>SUM(E13,I13,L13,O13,R13)</x:f>
        <x:v>8999.166666666666</x:v>
      </x:c>
    </x:row>
    <x:row r="14">
      <x:c r="A14" s="59" t="n">
        <x:v>46539</x:v>
      </x:c>
      <x:c r="B14" s="43" t="n">
        <x:v>1</x:v>
      </x:c>
      <x:c r="C14" s="60" t="n">
        <x:f>Assumptions!$B$5*10/12</x:f>
        <x:v>100</x:v>
      </x:c>
      <x:c r="D14" s="61" t="n">
        <x:f>Assumptions!$B$6</x:f>
        <x:v>18</x:v>
      </x:c>
      <x:c r="E14" s="61" t="n">
        <x:f>C14*D14</x:f>
        <x:v>1800</x:v>
      </x:c>
      <x:c r="F14" s="60" t="n">
        <x:f>Assumptions!$B$7*10/12</x:f>
        <x:v>20.833333333333332</x:v>
      </x:c>
      <x:c r="G14" s="60" t="n">
        <x:f>Assumptions!$B$8</x:f>
        <x:v>8</x:v>
      </x:c>
      <x:c r="H14" s="61" t="n">
        <x:f>Assumptions!$B$9</x:f>
        <x:v>22</x:v>
      </x:c>
      <x:c r="I14" s="61" t="n">
        <x:f>F14*G14*H14</x:f>
        <x:v>3666.6666666666665</x:v>
      </x:c>
      <x:c r="J14" s="62" t="n">
        <x:f>Assumptions!$B$10*10/12</x:f>
        <x:v>0.8333333333333334</x:v>
      </x:c>
      <x:c r="K14" s="61" t="n">
        <x:f>Assumptions!$B$11</x:f>
        <x:v>18000</x:v>
      </x:c>
      <x:c r="L14" s="61" t="n">
        <x:f>J14*K14/12</x:f>
        <x:v>1250</x:v>
      </x:c>
      <x:c r="M14" s="60" t="n">
        <x:f>Assumptions!$B$12*10/12</x:f>
        <x:v>25</x:v>
      </x:c>
      <x:c r="N14" s="61" t="n">
        <x:f>Assumptions!$B$13</x:f>
        <x:v>35</x:v>
      </x:c>
      <x:c r="O14" s="61" t="n">
        <x:f>M14*N14</x:f>
        <x:v>875</x:v>
      </x:c>
      <x:c r="P14" s="62" t="n">
        <x:f>MAX(0,F14+J14-F13-J13)</x:f>
        <x:v>2.1666666666666643</x:v>
      </x:c>
      <x:c r="Q14" s="61" t="n">
        <x:f>Assumptions!$B$14</x:f>
        <x:v>1000</x:v>
      </x:c>
      <x:c r="R14" s="61" t="n">
        <x:f>P14*Q14</x:f>
        <x:v>2166.6666666666642</x:v>
      </x:c>
      <x:c r="S14" s="61" t="n">
        <x:f>SUM(E14,I14,L14,O14,R14)</x:f>
        <x:v>9758.33333333333</x:v>
      </x:c>
    </x:row>
    <x:row r="15">
      <x:c r="A15" s="59" t="n">
        <x:v>46569</x:v>
      </x:c>
      <x:c r="B15" s="43" t="n">
        <x:v>1</x:v>
      </x:c>
      <x:c r="C15" s="60" t="n">
        <x:f>Assumptions!$B$5*11/12</x:f>
        <x:v>110</x:v>
      </x:c>
      <x:c r="D15" s="61" t="n">
        <x:f>Assumptions!$B$6</x:f>
        <x:v>18</x:v>
      </x:c>
      <x:c r="E15" s="61" t="n">
        <x:f>C15*D15</x:f>
        <x:v>1980</x:v>
      </x:c>
      <x:c r="F15" s="60" t="n">
        <x:f>Assumptions!$B$7*11/12</x:f>
        <x:v>22.916666666666668</x:v>
      </x:c>
      <x:c r="G15" s="60" t="n">
        <x:f>Assumptions!$B$8</x:f>
        <x:v>8</x:v>
      </x:c>
      <x:c r="H15" s="61" t="n">
        <x:f>Assumptions!$B$9</x:f>
        <x:v>22</x:v>
      </x:c>
      <x:c r="I15" s="61" t="n">
        <x:f>F15*G15*H15</x:f>
        <x:v>4033.3333333333335</x:v>
      </x:c>
      <x:c r="J15" s="62" t="n">
        <x:f>Assumptions!$B$10*11/12</x:f>
        <x:v>0.9166666666666666</x:v>
      </x:c>
      <x:c r="K15" s="61" t="n">
        <x:f>Assumptions!$B$11</x:f>
        <x:v>18000</x:v>
      </x:c>
      <x:c r="L15" s="61" t="n">
        <x:f>J15*K15/12</x:f>
        <x:v>1375</x:v>
      </x:c>
      <x:c r="M15" s="60" t="n">
        <x:f>Assumptions!$B$12*11/12</x:f>
        <x:v>27.5</x:v>
      </x:c>
      <x:c r="N15" s="61" t="n">
        <x:f>Assumptions!$B$13</x:f>
        <x:v>35</x:v>
      </x:c>
      <x:c r="O15" s="61" t="n">
        <x:f>M15*N15</x:f>
        <x:v>962.5</x:v>
      </x:c>
      <x:c r="P15" s="62" t="n">
        <x:f>MAX(0,F15+J15-F14-J14)</x:f>
        <x:v>2.16666666666667</x:v>
      </x:c>
      <x:c r="Q15" s="61" t="n">
        <x:f>Assumptions!$B$14</x:f>
        <x:v>1000</x:v>
      </x:c>
      <x:c r="R15" s="61" t="n">
        <x:f>P15*Q15</x:f>
        <x:v>2166.66666666667</x:v>
      </x:c>
      <x:c r="S15" s="61" t="n">
        <x:f>SUM(E15,I15,L15,O15,R15)</x:f>
        <x:v>10517.500000000004</x:v>
      </x:c>
    </x:row>
    <x:row r="16">
      <x:c r="A16" s="59" t="n">
        <x:v>46600</x:v>
      </x:c>
      <x:c r="B16" s="43" t="n">
        <x:v>1</x:v>
      </x:c>
      <x:c r="C16" s="60" t="n">
        <x:f>Assumptions!$B$5*12/12</x:f>
        <x:v>120</x:v>
      </x:c>
      <x:c r="D16" s="61" t="n">
        <x:f>Assumptions!$B$6</x:f>
        <x:v>18</x:v>
      </x:c>
      <x:c r="E16" s="61" t="n">
        <x:f>C16*D16</x:f>
        <x:v>2160</x:v>
      </x:c>
      <x:c r="F16" s="60" t="n">
        <x:f>Assumptions!$B$7*12/12</x:f>
        <x:v>25</x:v>
      </x:c>
      <x:c r="G16" s="60" t="n">
        <x:f>Assumptions!$B$8</x:f>
        <x:v>8</x:v>
      </x:c>
      <x:c r="H16" s="61" t="n">
        <x:f>Assumptions!$B$9</x:f>
        <x:v>22</x:v>
      </x:c>
      <x:c r="I16" s="61" t="n">
        <x:f>F16*G16*H16</x:f>
        <x:v>4400</x:v>
      </x:c>
      <x:c r="J16" s="62" t="n">
        <x:f>Assumptions!$B$10*12/12</x:f>
        <x:v>1</x:v>
      </x:c>
      <x:c r="K16" s="61" t="n">
        <x:f>Assumptions!$B$11</x:f>
        <x:v>18000</x:v>
      </x:c>
      <x:c r="L16" s="61" t="n">
        <x:f>J16*K16/12</x:f>
        <x:v>1500</x:v>
      </x:c>
      <x:c r="M16" s="60" t="n">
        <x:f>Assumptions!$B$12*12/12</x:f>
        <x:v>30</x:v>
      </x:c>
      <x:c r="N16" s="61" t="n">
        <x:f>Assumptions!$B$13</x:f>
        <x:v>35</x:v>
      </x:c>
      <x:c r="O16" s="61" t="n">
        <x:f>M16*N16</x:f>
        <x:v>1050</x:v>
      </x:c>
      <x:c r="P16" s="62" t="n">
        <x:f>MAX(0,F16+J16-F15-J15)</x:f>
        <x:v>2.1666666666666656</x:v>
      </x:c>
      <x:c r="Q16" s="61" t="n">
        <x:f>Assumptions!$B$14</x:f>
        <x:v>1000</x:v>
      </x:c>
      <x:c r="R16" s="61" t="n">
        <x:f>P16*Q16</x:f>
        <x:v>2166.6666666666656</x:v>
      </x:c>
      <x:c r="S16" s="61" t="n">
        <x:f>SUM(E16,I16,L16,O16,R16)</x:f>
        <x:v>11276.666666666666</x:v>
      </x:c>
    </x:row>
    <x:row r="17">
      <x:c r="A17" s="59" t="n">
        <x:v>46631</x:v>
      </x:c>
      <x:c r="B17" s="43" t="n">
        <x:v>2</x:v>
      </x:c>
      <x:c r="C17" s="60" t="n">
        <x:f>Assumptions!$B$5+(Assumptions!$C$5-Assumptions!$B$5)*1/12</x:f>
        <x:v>160</x:v>
      </x:c>
      <x:c r="D17" s="61" t="n">
        <x:f>Assumptions!$C$6</x:f>
        <x:v>21</x:v>
      </x:c>
      <x:c r="E17" s="61" t="n">
        <x:f>C17*D17</x:f>
        <x:v>3360</x:v>
      </x:c>
      <x:c r="F17" s="60" t="n">
        <x:f>Assumptions!$B$7+(Assumptions!$C$7-Assumptions!$B$7)*1/12</x:f>
        <x:v>30</x:v>
      </x:c>
      <x:c r="G17" s="60" t="n">
        <x:f>Assumptions!$C$8</x:f>
        <x:v>10</x:v>
      </x:c>
      <x:c r="H17" s="61" t="n">
        <x:f>Assumptions!$C$9</x:f>
        <x:v>24</x:v>
      </x:c>
      <x:c r="I17" s="61" t="n">
        <x:f>F17*G17*H17</x:f>
        <x:v>7200</x:v>
      </x:c>
      <x:c r="J17" s="62" t="n">
        <x:f>Assumptions!$B$10+(Assumptions!$C$10-Assumptions!$B$10)*1/12</x:f>
        <x:v>1.25</x:v>
      </x:c>
      <x:c r="K17" s="61" t="n">
        <x:f>Assumptions!$C$11</x:f>
        <x:v>20000</x:v>
      </x:c>
      <x:c r="L17" s="61" t="n">
        <x:f>J17*K17/12</x:f>
        <x:v>2083.3333333333335</x:v>
      </x:c>
      <x:c r="M17" s="60" t="n">
        <x:f>Assumptions!$B$12+(Assumptions!$C$12-Assumptions!$B$12)*1/12</x:f>
        <x:v>41.666666666666664</x:v>
      </x:c>
      <x:c r="N17" s="61" t="n">
        <x:f>Assumptions!$C$13</x:f>
        <x:v>75</x:v>
      </x:c>
      <x:c r="O17" s="61" t="n">
        <x:f>M17*N17</x:f>
        <x:v>3125</x:v>
      </x:c>
      <x:c r="P17" s="62" t="n">
        <x:f>MAX(0,F17+J17-F16-J16)</x:f>
        <x:v>5.25</x:v>
      </x:c>
      <x:c r="Q17" s="61" t="n">
        <x:f>Assumptions!$C$14</x:f>
        <x:v>900</x:v>
      </x:c>
      <x:c r="R17" s="61" t="n">
        <x:f>P17*Q17</x:f>
        <x:v>4725</x:v>
      </x:c>
      <x:c r="S17" s="61" t="n">
        <x:f>SUM(E17,I17,L17,O17,R17)</x:f>
        <x:v>20493.333333333336</x:v>
      </x:c>
    </x:row>
    <x:row r="18">
      <x:c r="A18" s="59" t="n">
        <x:v>46661</x:v>
      </x:c>
      <x:c r="B18" s="43" t="n">
        <x:v>2</x:v>
      </x:c>
      <x:c r="C18" s="60" t="n">
        <x:f>Assumptions!$B$5+(Assumptions!$C$5-Assumptions!$B$5)*2/12</x:f>
        <x:v>200</x:v>
      </x:c>
      <x:c r="D18" s="61" t="n">
        <x:f>Assumptions!$C$6</x:f>
        <x:v>21</x:v>
      </x:c>
      <x:c r="E18" s="61" t="n">
        <x:f>C18*D18</x:f>
        <x:v>4200</x:v>
      </x:c>
      <x:c r="F18" s="60" t="n">
        <x:f>Assumptions!$B$7+(Assumptions!$C$7-Assumptions!$B$7)*2/12</x:f>
        <x:v>35</x:v>
      </x:c>
      <x:c r="G18" s="60" t="n">
        <x:f>Assumptions!$C$8</x:f>
        <x:v>10</x:v>
      </x:c>
      <x:c r="H18" s="61" t="n">
        <x:f>Assumptions!$C$9</x:f>
        <x:v>24</x:v>
      </x:c>
      <x:c r="I18" s="61" t="n">
        <x:f>F18*G18*H18</x:f>
        <x:v>8400</x:v>
      </x:c>
      <x:c r="J18" s="62" t="n">
        <x:f>Assumptions!$B$10+(Assumptions!$C$10-Assumptions!$B$10)*2/12</x:f>
        <x:v>1.5</x:v>
      </x:c>
      <x:c r="K18" s="61" t="n">
        <x:f>Assumptions!$C$11</x:f>
        <x:v>20000</x:v>
      </x:c>
      <x:c r="L18" s="61" t="n">
        <x:f>J18*K18/12</x:f>
        <x:v>2500</x:v>
      </x:c>
      <x:c r="M18" s="60" t="n">
        <x:f>Assumptions!$B$12+(Assumptions!$C$12-Assumptions!$B$12)*2/12</x:f>
        <x:v>53.33333333333333</x:v>
      </x:c>
      <x:c r="N18" s="61" t="n">
        <x:f>Assumptions!$C$13</x:f>
        <x:v>75</x:v>
      </x:c>
      <x:c r="O18" s="61" t="n">
        <x:f>M18*N18</x:f>
        <x:v>3999.9999999999995</x:v>
      </x:c>
      <x:c r="P18" s="62" t="n">
        <x:f>MAX(0,F18+J18-F17-J17)</x:f>
        <x:v>5.25</x:v>
      </x:c>
      <x:c r="Q18" s="61" t="n">
        <x:f>Assumptions!$C$14</x:f>
        <x:v>900</x:v>
      </x:c>
      <x:c r="R18" s="61" t="n">
        <x:f>P18*Q18</x:f>
        <x:v>4725</x:v>
      </x:c>
      <x:c r="S18" s="61" t="n">
        <x:f>SUM(E18,I18,L18,O18,R18)</x:f>
        <x:v>23825</x:v>
      </x:c>
    </x:row>
    <x:row r="19">
      <x:c r="A19" s="59" t="n">
        <x:v>46692</x:v>
      </x:c>
      <x:c r="B19" s="43" t="n">
        <x:v>2</x:v>
      </x:c>
      <x:c r="C19" s="60" t="n">
        <x:f>Assumptions!$B$5+(Assumptions!$C$5-Assumptions!$B$5)*3/12</x:f>
        <x:v>240</x:v>
      </x:c>
      <x:c r="D19" s="61" t="n">
        <x:f>Assumptions!$C$6</x:f>
        <x:v>21</x:v>
      </x:c>
      <x:c r="E19" s="61" t="n">
        <x:f>C19*D19</x:f>
        <x:v>5040</x:v>
      </x:c>
      <x:c r="F19" s="60" t="n">
        <x:f>Assumptions!$B$7+(Assumptions!$C$7-Assumptions!$B$7)*3/12</x:f>
        <x:v>40</x:v>
      </x:c>
      <x:c r="G19" s="60" t="n">
        <x:f>Assumptions!$C$8</x:f>
        <x:v>10</x:v>
      </x:c>
      <x:c r="H19" s="61" t="n">
        <x:f>Assumptions!$C$9</x:f>
        <x:v>24</x:v>
      </x:c>
      <x:c r="I19" s="61" t="n">
        <x:f>F19*G19*H19</x:f>
        <x:v>9600</x:v>
      </x:c>
      <x:c r="J19" s="62" t="n">
        <x:f>Assumptions!$B$10+(Assumptions!$C$10-Assumptions!$B$10)*3/12</x:f>
        <x:v>1.75</x:v>
      </x:c>
      <x:c r="K19" s="61" t="n">
        <x:f>Assumptions!$C$11</x:f>
        <x:v>20000</x:v>
      </x:c>
      <x:c r="L19" s="61" t="n">
        <x:f>J19*K19/12</x:f>
        <x:v>2916.6666666666665</x:v>
      </x:c>
      <x:c r="M19" s="60" t="n">
        <x:f>Assumptions!$B$12+(Assumptions!$C$12-Assumptions!$B$12)*3/12</x:f>
        <x:v>65</x:v>
      </x:c>
      <x:c r="N19" s="61" t="n">
        <x:f>Assumptions!$C$13</x:f>
        <x:v>75</x:v>
      </x:c>
      <x:c r="O19" s="61" t="n">
        <x:f>M19*N19</x:f>
        <x:v>4875</x:v>
      </x:c>
      <x:c r="P19" s="62" t="n">
        <x:f>MAX(0,F19+J19-F18-J18)</x:f>
        <x:v>5.25</x:v>
      </x:c>
      <x:c r="Q19" s="61" t="n">
        <x:f>Assumptions!$C$14</x:f>
        <x:v>900</x:v>
      </x:c>
      <x:c r="R19" s="61" t="n">
        <x:f>P19*Q19</x:f>
        <x:v>4725</x:v>
      </x:c>
      <x:c r="S19" s="61" t="n">
        <x:f>SUM(E19,I19,L19,O19,R19)</x:f>
        <x:v>27156.666666666668</x:v>
      </x:c>
    </x:row>
    <x:row r="20">
      <x:c r="A20" s="59" t="n">
        <x:v>46722</x:v>
      </x:c>
      <x:c r="B20" s="43" t="n">
        <x:v>2</x:v>
      </x:c>
      <x:c r="C20" s="60" t="n">
        <x:f>Assumptions!$B$5+(Assumptions!$C$5-Assumptions!$B$5)*4/12</x:f>
        <x:v>280</x:v>
      </x:c>
      <x:c r="D20" s="61" t="n">
        <x:f>Assumptions!$C$6</x:f>
        <x:v>21</x:v>
      </x:c>
      <x:c r="E20" s="61" t="n">
        <x:f>C20*D20</x:f>
        <x:v>5880</x:v>
      </x:c>
      <x:c r="F20" s="60" t="n">
        <x:f>Assumptions!$B$7+(Assumptions!$C$7-Assumptions!$B$7)*4/12</x:f>
        <x:v>45</x:v>
      </x:c>
      <x:c r="G20" s="60" t="n">
        <x:f>Assumptions!$C$8</x:f>
        <x:v>10</x:v>
      </x:c>
      <x:c r="H20" s="61" t="n">
        <x:f>Assumptions!$C$9</x:f>
        <x:v>24</x:v>
      </x:c>
      <x:c r="I20" s="61" t="n">
        <x:f>F20*G20*H20</x:f>
        <x:v>10800</x:v>
      </x:c>
      <x:c r="J20" s="62" t="n">
        <x:f>Assumptions!$B$10+(Assumptions!$C$10-Assumptions!$B$10)*4/12</x:f>
        <x:v>2</x:v>
      </x:c>
      <x:c r="K20" s="61" t="n">
        <x:f>Assumptions!$C$11</x:f>
        <x:v>20000</x:v>
      </x:c>
      <x:c r="L20" s="61" t="n">
        <x:f>J20*K20/12</x:f>
        <x:v>3333.3333333333335</x:v>
      </x:c>
      <x:c r="M20" s="60" t="n">
        <x:f>Assumptions!$B$12+(Assumptions!$C$12-Assumptions!$B$12)*4/12</x:f>
        <x:v>76.66666666666666</x:v>
      </x:c>
      <x:c r="N20" s="61" t="n">
        <x:f>Assumptions!$C$13</x:f>
        <x:v>75</x:v>
      </x:c>
      <x:c r="O20" s="61" t="n">
        <x:f>M20*N20</x:f>
        <x:v>5749.999999999999</x:v>
      </x:c>
      <x:c r="P20" s="62" t="n">
        <x:f>MAX(0,F20+J20-F19-J19)</x:f>
        <x:v>5.25</x:v>
      </x:c>
      <x:c r="Q20" s="61" t="n">
        <x:f>Assumptions!$C$14</x:f>
        <x:v>900</x:v>
      </x:c>
      <x:c r="R20" s="61" t="n">
        <x:f>P20*Q20</x:f>
        <x:v>4725</x:v>
      </x:c>
      <x:c r="S20" s="61" t="n">
        <x:f>SUM(E20,I20,L20,O20,R20)</x:f>
        <x:v>30488.333333333332</x:v>
      </x:c>
    </x:row>
    <x:row r="21">
      <x:c r="A21" s="59" t="n">
        <x:v>46753</x:v>
      </x:c>
      <x:c r="B21" s="43" t="n">
        <x:v>2</x:v>
      </x:c>
      <x:c r="C21" s="60" t="n">
        <x:f>Assumptions!$B$5+(Assumptions!$C$5-Assumptions!$B$5)*5/12</x:f>
        <x:v>320</x:v>
      </x:c>
      <x:c r="D21" s="61" t="n">
        <x:f>Assumptions!$C$6</x:f>
        <x:v>21</x:v>
      </x:c>
      <x:c r="E21" s="61" t="n">
        <x:f>C21*D21</x:f>
        <x:v>6720</x:v>
      </x:c>
      <x:c r="F21" s="60" t="n">
        <x:f>Assumptions!$B$7+(Assumptions!$C$7-Assumptions!$B$7)*5/12</x:f>
        <x:v>50</x:v>
      </x:c>
      <x:c r="G21" s="60" t="n">
        <x:f>Assumptions!$C$8</x:f>
        <x:v>10</x:v>
      </x:c>
      <x:c r="H21" s="61" t="n">
        <x:f>Assumptions!$C$9</x:f>
        <x:v>24</x:v>
      </x:c>
      <x:c r="I21" s="61" t="n">
        <x:f>F21*G21*H21</x:f>
        <x:v>12000</x:v>
      </x:c>
      <x:c r="J21" s="62" t="n">
        <x:f>Assumptions!$B$10+(Assumptions!$C$10-Assumptions!$B$10)*5/12</x:f>
        <x:v>2.25</x:v>
      </x:c>
      <x:c r="K21" s="61" t="n">
        <x:f>Assumptions!$C$11</x:f>
        <x:v>20000</x:v>
      </x:c>
      <x:c r="L21" s="61" t="n">
        <x:f>J21*K21/12</x:f>
        <x:v>3750</x:v>
      </x:c>
      <x:c r="M21" s="60" t="n">
        <x:f>Assumptions!$B$12+(Assumptions!$C$12-Assumptions!$B$12)*5/12</x:f>
        <x:v>88.33333333333334</x:v>
      </x:c>
      <x:c r="N21" s="61" t="n">
        <x:f>Assumptions!$C$13</x:f>
        <x:v>75</x:v>
      </x:c>
      <x:c r="O21" s="61" t="n">
        <x:f>M21*N21</x:f>
        <x:v>6625.000000000001</x:v>
      </x:c>
      <x:c r="P21" s="62" t="n">
        <x:f>MAX(0,F21+J21-F20-J20)</x:f>
        <x:v>5.25</x:v>
      </x:c>
      <x:c r="Q21" s="61" t="n">
        <x:f>Assumptions!$C$14</x:f>
        <x:v>900</x:v>
      </x:c>
      <x:c r="R21" s="61" t="n">
        <x:f>P21*Q21</x:f>
        <x:v>4725</x:v>
      </x:c>
      <x:c r="S21" s="61" t="n">
        <x:f>SUM(E21,I21,L21,O21,R21)</x:f>
        <x:v>33820</x:v>
      </x:c>
    </x:row>
    <x:row r="22">
      <x:c r="A22" s="59" t="n">
        <x:v>46784</x:v>
      </x:c>
      <x:c r="B22" s="43" t="n">
        <x:v>2</x:v>
      </x:c>
      <x:c r="C22" s="60" t="n">
        <x:f>Assumptions!$B$5+(Assumptions!$C$5-Assumptions!$B$5)*6/12</x:f>
        <x:v>360</x:v>
      </x:c>
      <x:c r="D22" s="61" t="n">
        <x:f>Assumptions!$C$6</x:f>
        <x:v>21</x:v>
      </x:c>
      <x:c r="E22" s="61" t="n">
        <x:f>C22*D22</x:f>
        <x:v>7560</x:v>
      </x:c>
      <x:c r="F22" s="60" t="n">
        <x:f>Assumptions!$B$7+(Assumptions!$C$7-Assumptions!$B$7)*6/12</x:f>
        <x:v>55</x:v>
      </x:c>
      <x:c r="G22" s="60" t="n">
        <x:f>Assumptions!$C$8</x:f>
        <x:v>10</x:v>
      </x:c>
      <x:c r="H22" s="61" t="n">
        <x:f>Assumptions!$C$9</x:f>
        <x:v>24</x:v>
      </x:c>
      <x:c r="I22" s="61" t="n">
        <x:f>F22*G22*H22</x:f>
        <x:v>13200</x:v>
      </x:c>
      <x:c r="J22" s="62" t="n">
        <x:f>Assumptions!$B$10+(Assumptions!$C$10-Assumptions!$B$10)*6/12</x:f>
        <x:v>2.5</x:v>
      </x:c>
      <x:c r="K22" s="61" t="n">
        <x:f>Assumptions!$C$11</x:f>
        <x:v>20000</x:v>
      </x:c>
      <x:c r="L22" s="61" t="n">
        <x:f>J22*K22/12</x:f>
        <x:v>4166.666666666667</x:v>
      </x:c>
      <x:c r="M22" s="60" t="n">
        <x:f>Assumptions!$B$12+(Assumptions!$C$12-Assumptions!$B$12)*6/12</x:f>
        <x:v>100</x:v>
      </x:c>
      <x:c r="N22" s="61" t="n">
        <x:f>Assumptions!$C$13</x:f>
        <x:v>75</x:v>
      </x:c>
      <x:c r="O22" s="61" t="n">
        <x:f>M22*N22</x:f>
        <x:v>7500</x:v>
      </x:c>
      <x:c r="P22" s="62" t="n">
        <x:f>MAX(0,F22+J22-F21-J21)</x:f>
        <x:v>5.25</x:v>
      </x:c>
      <x:c r="Q22" s="61" t="n">
        <x:f>Assumptions!$C$14</x:f>
        <x:v>900</x:v>
      </x:c>
      <x:c r="R22" s="61" t="n">
        <x:f>P22*Q22</x:f>
        <x:v>4725</x:v>
      </x:c>
      <x:c r="S22" s="61" t="n">
        <x:f>SUM(E22,I22,L22,O22,R22)</x:f>
        <x:v>37151.66666666667</x:v>
      </x:c>
    </x:row>
    <x:row r="23">
      <x:c r="A23" s="59" t="n">
        <x:v>46813</x:v>
      </x:c>
      <x:c r="B23" s="43" t="n">
        <x:v>2</x:v>
      </x:c>
      <x:c r="C23" s="60" t="n">
        <x:f>Assumptions!$B$5+(Assumptions!$C$5-Assumptions!$B$5)*7/12</x:f>
        <x:v>400</x:v>
      </x:c>
      <x:c r="D23" s="61" t="n">
        <x:f>Assumptions!$C$6</x:f>
        <x:v>21</x:v>
      </x:c>
      <x:c r="E23" s="61" t="n">
        <x:f>C23*D23</x:f>
        <x:v>8400</x:v>
      </x:c>
      <x:c r="F23" s="60" t="n">
        <x:f>Assumptions!$B$7+(Assumptions!$C$7-Assumptions!$B$7)*7/12</x:f>
        <x:v>60</x:v>
      </x:c>
      <x:c r="G23" s="60" t="n">
        <x:f>Assumptions!$C$8</x:f>
        <x:v>10</x:v>
      </x:c>
      <x:c r="H23" s="61" t="n">
        <x:f>Assumptions!$C$9</x:f>
        <x:v>24</x:v>
      </x:c>
      <x:c r="I23" s="61" t="n">
        <x:f>F23*G23*H23</x:f>
        <x:v>14400</x:v>
      </x:c>
      <x:c r="J23" s="62" t="n">
        <x:f>Assumptions!$B$10+(Assumptions!$C$10-Assumptions!$B$10)*7/12</x:f>
        <x:v>2.75</x:v>
      </x:c>
      <x:c r="K23" s="61" t="n">
        <x:f>Assumptions!$C$11</x:f>
        <x:v>20000</x:v>
      </x:c>
      <x:c r="L23" s="61" t="n">
        <x:f>J23*K23/12</x:f>
        <x:v>4583.333333333333</x:v>
      </x:c>
      <x:c r="M23" s="60" t="n">
        <x:f>Assumptions!$B$12+(Assumptions!$C$12-Assumptions!$B$12)*7/12</x:f>
        <x:v>111.66666666666667</x:v>
      </x:c>
      <x:c r="N23" s="61" t="n">
        <x:f>Assumptions!$C$13</x:f>
        <x:v>75</x:v>
      </x:c>
      <x:c r="O23" s="61" t="n">
        <x:f>M23*N23</x:f>
        <x:v>8375</x:v>
      </x:c>
      <x:c r="P23" s="62" t="n">
        <x:f>MAX(0,F23+J23-F22-J22)</x:f>
        <x:v>5.25</x:v>
      </x:c>
      <x:c r="Q23" s="61" t="n">
        <x:f>Assumptions!$C$14</x:f>
        <x:v>900</x:v>
      </x:c>
      <x:c r="R23" s="61" t="n">
        <x:f>P23*Q23</x:f>
        <x:v>4725</x:v>
      </x:c>
      <x:c r="S23" s="61" t="n">
        <x:f>SUM(E23,I23,L23,O23,R23)</x:f>
        <x:v>40483.33333333333</x:v>
      </x:c>
    </x:row>
    <x:row r="24">
      <x:c r="A24" s="59" t="n">
        <x:v>46844</x:v>
      </x:c>
      <x:c r="B24" s="43" t="n">
        <x:v>2</x:v>
      </x:c>
      <x:c r="C24" s="60" t="n">
        <x:f>Assumptions!$B$5+(Assumptions!$C$5-Assumptions!$B$5)*8/12</x:f>
        <x:v>440</x:v>
      </x:c>
      <x:c r="D24" s="61" t="n">
        <x:f>Assumptions!$C$6</x:f>
        <x:v>21</x:v>
      </x:c>
      <x:c r="E24" s="61" t="n">
        <x:f>C24*D24</x:f>
        <x:v>9240</x:v>
      </x:c>
      <x:c r="F24" s="60" t="n">
        <x:f>Assumptions!$B$7+(Assumptions!$C$7-Assumptions!$B$7)*8/12</x:f>
        <x:v>65</x:v>
      </x:c>
      <x:c r="G24" s="60" t="n">
        <x:f>Assumptions!$C$8</x:f>
        <x:v>10</x:v>
      </x:c>
      <x:c r="H24" s="61" t="n">
        <x:f>Assumptions!$C$9</x:f>
        <x:v>24</x:v>
      </x:c>
      <x:c r="I24" s="61" t="n">
        <x:f>F24*G24*H24</x:f>
        <x:v>15600</x:v>
      </x:c>
      <x:c r="J24" s="62" t="n">
        <x:f>Assumptions!$B$10+(Assumptions!$C$10-Assumptions!$B$10)*8/12</x:f>
        <x:v>3</x:v>
      </x:c>
      <x:c r="K24" s="61" t="n">
        <x:f>Assumptions!$C$11</x:f>
        <x:v>20000</x:v>
      </x:c>
      <x:c r="L24" s="61" t="n">
        <x:f>J24*K24/12</x:f>
        <x:v>5000</x:v>
      </x:c>
      <x:c r="M24" s="60" t="n">
        <x:f>Assumptions!$B$12+(Assumptions!$C$12-Assumptions!$B$12)*8/12</x:f>
        <x:v>123.33333333333333</x:v>
      </x:c>
      <x:c r="N24" s="61" t="n">
        <x:f>Assumptions!$C$13</x:f>
        <x:v>75</x:v>
      </x:c>
      <x:c r="O24" s="61" t="n">
        <x:f>M24*N24</x:f>
        <x:v>9250</x:v>
      </x:c>
      <x:c r="P24" s="62" t="n">
        <x:f>MAX(0,F24+J24-F23-J23)</x:f>
        <x:v>5.25</x:v>
      </x:c>
      <x:c r="Q24" s="61" t="n">
        <x:f>Assumptions!$C$14</x:f>
        <x:v>900</x:v>
      </x:c>
      <x:c r="R24" s="61" t="n">
        <x:f>P24*Q24</x:f>
        <x:v>4725</x:v>
      </x:c>
      <x:c r="S24" s="61" t="n">
        <x:f>SUM(E24,I24,L24,O24,R24)</x:f>
        <x:v>43815</x:v>
      </x:c>
    </x:row>
    <x:row r="25">
      <x:c r="A25" s="59" t="n">
        <x:v>46874</x:v>
      </x:c>
      <x:c r="B25" s="43" t="n">
        <x:v>2</x:v>
      </x:c>
      <x:c r="C25" s="60" t="n">
        <x:f>Assumptions!$B$5+(Assumptions!$C$5-Assumptions!$B$5)*9/12</x:f>
        <x:v>480</x:v>
      </x:c>
      <x:c r="D25" s="61" t="n">
        <x:f>Assumptions!$C$6</x:f>
        <x:v>21</x:v>
      </x:c>
      <x:c r="E25" s="61" t="n">
        <x:f>C25*D25</x:f>
        <x:v>10080</x:v>
      </x:c>
      <x:c r="F25" s="60" t="n">
        <x:f>Assumptions!$B$7+(Assumptions!$C$7-Assumptions!$B$7)*9/12</x:f>
        <x:v>70</x:v>
      </x:c>
      <x:c r="G25" s="60" t="n">
        <x:f>Assumptions!$C$8</x:f>
        <x:v>10</x:v>
      </x:c>
      <x:c r="H25" s="61" t="n">
        <x:f>Assumptions!$C$9</x:f>
        <x:v>24</x:v>
      </x:c>
      <x:c r="I25" s="61" t="n">
        <x:f>F25*G25*H25</x:f>
        <x:v>16800</x:v>
      </x:c>
      <x:c r="J25" s="62" t="n">
        <x:f>Assumptions!$B$10+(Assumptions!$C$10-Assumptions!$B$10)*9/12</x:f>
        <x:v>3.25</x:v>
      </x:c>
      <x:c r="K25" s="61" t="n">
        <x:f>Assumptions!$C$11</x:f>
        <x:v>20000</x:v>
      </x:c>
      <x:c r="L25" s="61" t="n">
        <x:f>J25*K25/12</x:f>
        <x:v>5416.666666666667</x:v>
      </x:c>
      <x:c r="M25" s="60" t="n">
        <x:f>Assumptions!$B$12+(Assumptions!$C$12-Assumptions!$B$12)*9/12</x:f>
        <x:v>135</x:v>
      </x:c>
      <x:c r="N25" s="61" t="n">
        <x:f>Assumptions!$C$13</x:f>
        <x:v>75</x:v>
      </x:c>
      <x:c r="O25" s="61" t="n">
        <x:f>M25*N25</x:f>
        <x:v>10125</x:v>
      </x:c>
      <x:c r="P25" s="62" t="n">
        <x:f>MAX(0,F25+J25-F24-J24)</x:f>
        <x:v>5.25</x:v>
      </x:c>
      <x:c r="Q25" s="61" t="n">
        <x:f>Assumptions!$C$14</x:f>
        <x:v>900</x:v>
      </x:c>
      <x:c r="R25" s="61" t="n">
        <x:f>P25*Q25</x:f>
        <x:v>4725</x:v>
      </x:c>
      <x:c r="S25" s="61" t="n">
        <x:f>SUM(E25,I25,L25,O25,R25)</x:f>
        <x:v>47146.66666666667</x:v>
      </x:c>
    </x:row>
    <x:row r="26">
      <x:c r="A26" s="59" t="n">
        <x:v>46905</x:v>
      </x:c>
      <x:c r="B26" s="43" t="n">
        <x:v>2</x:v>
      </x:c>
      <x:c r="C26" s="60" t="n">
        <x:f>Assumptions!$B$5+(Assumptions!$C$5-Assumptions!$B$5)*10/12</x:f>
        <x:v>520</x:v>
      </x:c>
      <x:c r="D26" s="61" t="n">
        <x:f>Assumptions!$C$6</x:f>
        <x:v>21</x:v>
      </x:c>
      <x:c r="E26" s="61" t="n">
        <x:f>C26*D26</x:f>
        <x:v>10920</x:v>
      </x:c>
      <x:c r="F26" s="60" t="n">
        <x:f>Assumptions!$B$7+(Assumptions!$C$7-Assumptions!$B$7)*10/12</x:f>
        <x:v>75</x:v>
      </x:c>
      <x:c r="G26" s="60" t="n">
        <x:f>Assumptions!$C$8</x:f>
        <x:v>10</x:v>
      </x:c>
      <x:c r="H26" s="61" t="n">
        <x:f>Assumptions!$C$9</x:f>
        <x:v>24</x:v>
      </x:c>
      <x:c r="I26" s="61" t="n">
        <x:f>F26*G26*H26</x:f>
        <x:v>18000</x:v>
      </x:c>
      <x:c r="J26" s="62" t="n">
        <x:f>Assumptions!$B$10+(Assumptions!$C$10-Assumptions!$B$10)*10/12</x:f>
        <x:v>3.5</x:v>
      </x:c>
      <x:c r="K26" s="61" t="n">
        <x:f>Assumptions!$C$11</x:f>
        <x:v>20000</x:v>
      </x:c>
      <x:c r="L26" s="61" t="n">
        <x:f>J26*K26/12</x:f>
        <x:v>5833.333333333333</x:v>
      </x:c>
      <x:c r="M26" s="60" t="n">
        <x:f>Assumptions!$B$12+(Assumptions!$C$12-Assumptions!$B$12)*10/12</x:f>
        <x:v>146.66666666666669</x:v>
      </x:c>
      <x:c r="N26" s="61" t="n">
        <x:f>Assumptions!$C$13</x:f>
        <x:v>75</x:v>
      </x:c>
      <x:c r="O26" s="61" t="n">
        <x:f>M26*N26</x:f>
        <x:v>11000.000000000002</x:v>
      </x:c>
      <x:c r="P26" s="62" t="n">
        <x:f>MAX(0,F26+J26-F25-J25)</x:f>
        <x:v>5.25</x:v>
      </x:c>
      <x:c r="Q26" s="61" t="n">
        <x:f>Assumptions!$C$14</x:f>
        <x:v>900</x:v>
      </x:c>
      <x:c r="R26" s="61" t="n">
        <x:f>P26*Q26</x:f>
        <x:v>4725</x:v>
      </x:c>
      <x:c r="S26" s="61" t="n">
        <x:f>SUM(E26,I26,L26,O26,R26)</x:f>
        <x:v>50478.333333333336</x:v>
      </x:c>
    </x:row>
    <x:row r="27">
      <x:c r="A27" s="59" t="n">
        <x:v>46935</x:v>
      </x:c>
      <x:c r="B27" s="43" t="n">
        <x:v>2</x:v>
      </x:c>
      <x:c r="C27" s="60" t="n">
        <x:f>Assumptions!$B$5+(Assumptions!$C$5-Assumptions!$B$5)*11/12</x:f>
        <x:v>560</x:v>
      </x:c>
      <x:c r="D27" s="61" t="n">
        <x:f>Assumptions!$C$6</x:f>
        <x:v>21</x:v>
      </x:c>
      <x:c r="E27" s="61" t="n">
        <x:f>C27*D27</x:f>
        <x:v>11760</x:v>
      </x:c>
      <x:c r="F27" s="60" t="n">
        <x:f>Assumptions!$B$7+(Assumptions!$C$7-Assumptions!$B$7)*11/12</x:f>
        <x:v>80</x:v>
      </x:c>
      <x:c r="G27" s="60" t="n">
        <x:f>Assumptions!$C$8</x:f>
        <x:v>10</x:v>
      </x:c>
      <x:c r="H27" s="61" t="n">
        <x:f>Assumptions!$C$9</x:f>
        <x:v>24</x:v>
      </x:c>
      <x:c r="I27" s="61" t="n">
        <x:f>F27*G27*H27</x:f>
        <x:v>19200</x:v>
      </x:c>
      <x:c r="J27" s="62" t="n">
        <x:f>Assumptions!$B$10+(Assumptions!$C$10-Assumptions!$B$10)*11/12</x:f>
        <x:v>3.75</x:v>
      </x:c>
      <x:c r="K27" s="61" t="n">
        <x:f>Assumptions!$C$11</x:f>
        <x:v>20000</x:v>
      </x:c>
      <x:c r="L27" s="61" t="n">
        <x:f>J27*K27/12</x:f>
        <x:v>6250</x:v>
      </x:c>
      <x:c r="M27" s="60" t="n">
        <x:f>Assumptions!$B$12+(Assumptions!$C$12-Assumptions!$B$12)*11/12</x:f>
        <x:v>158.33333333333334</x:v>
      </x:c>
      <x:c r="N27" s="61" t="n">
        <x:f>Assumptions!$C$13</x:f>
        <x:v>75</x:v>
      </x:c>
      <x:c r="O27" s="61" t="n">
        <x:f>M27*N27</x:f>
        <x:v>11875</x:v>
      </x:c>
      <x:c r="P27" s="62" t="n">
        <x:f>MAX(0,F27+J27-F26-J26)</x:f>
        <x:v>5.25</x:v>
      </x:c>
      <x:c r="Q27" s="61" t="n">
        <x:f>Assumptions!$C$14</x:f>
        <x:v>900</x:v>
      </x:c>
      <x:c r="R27" s="61" t="n">
        <x:f>P27*Q27</x:f>
        <x:v>4725</x:v>
      </x:c>
      <x:c r="S27" s="61" t="n">
        <x:f>SUM(E27,I27,L27,O27,R27)</x:f>
        <x:v>53810</x:v>
      </x:c>
    </x:row>
    <x:row r="28">
      <x:c r="A28" s="59" t="n">
        <x:v>46966</x:v>
      </x:c>
      <x:c r="B28" s="43" t="n">
        <x:v>2</x:v>
      </x:c>
      <x:c r="C28" s="60" t="n">
        <x:f>Assumptions!$B$5+(Assumptions!$C$5-Assumptions!$B$5)*12/12</x:f>
        <x:v>600</x:v>
      </x:c>
      <x:c r="D28" s="61" t="n">
        <x:f>Assumptions!$C$6</x:f>
        <x:v>21</x:v>
      </x:c>
      <x:c r="E28" s="61" t="n">
        <x:f>C28*D28</x:f>
        <x:v>12600</x:v>
      </x:c>
      <x:c r="F28" s="60" t="n">
        <x:f>Assumptions!$B$7+(Assumptions!$C$7-Assumptions!$B$7)*12/12</x:f>
        <x:v>85</x:v>
      </x:c>
      <x:c r="G28" s="60" t="n">
        <x:f>Assumptions!$C$8</x:f>
        <x:v>10</x:v>
      </x:c>
      <x:c r="H28" s="61" t="n">
        <x:f>Assumptions!$C$9</x:f>
        <x:v>24</x:v>
      </x:c>
      <x:c r="I28" s="61" t="n">
        <x:f>F28*G28*H28</x:f>
        <x:v>20400</x:v>
      </x:c>
      <x:c r="J28" s="62" t="n">
        <x:f>Assumptions!$B$10+(Assumptions!$C$10-Assumptions!$B$10)*12/12</x:f>
        <x:v>4</x:v>
      </x:c>
      <x:c r="K28" s="61" t="n">
        <x:f>Assumptions!$C$11</x:f>
        <x:v>20000</x:v>
      </x:c>
      <x:c r="L28" s="61" t="n">
        <x:f>J28*K28/12</x:f>
        <x:v>6666.666666666667</x:v>
      </x:c>
      <x:c r="M28" s="60" t="n">
        <x:f>Assumptions!$B$12+(Assumptions!$C$12-Assumptions!$B$12)*12/12</x:f>
        <x:v>170</x:v>
      </x:c>
      <x:c r="N28" s="61" t="n">
        <x:f>Assumptions!$C$13</x:f>
        <x:v>75</x:v>
      </x:c>
      <x:c r="O28" s="61" t="n">
        <x:f>M28*N28</x:f>
        <x:v>12750</x:v>
      </x:c>
      <x:c r="P28" s="62" t="n">
        <x:f>MAX(0,F28+J28-F27-J27)</x:f>
        <x:v>5.25</x:v>
      </x:c>
      <x:c r="Q28" s="61" t="n">
        <x:f>Assumptions!$C$14</x:f>
        <x:v>900</x:v>
      </x:c>
      <x:c r="R28" s="61" t="n">
        <x:f>P28*Q28</x:f>
        <x:v>4725</x:v>
      </x:c>
      <x:c r="S28" s="61" t="n">
        <x:f>SUM(E28,I28,L28,O28,R28)</x:f>
        <x:v>57141.666666666664</x:v>
      </x:c>
    </x:row>
    <x:row r="29">
      <x:c r="A29" s="59" t="n">
        <x:v>46997</x:v>
      </x:c>
      <x:c r="B29" s="43" t="n">
        <x:v>3</x:v>
      </x:c>
      <x:c r="C29" s="60" t="n">
        <x:f>Assumptions!$C$5+(Assumptions!$D$5-Assumptions!$C$5)*1/12</x:f>
        <x:v>700</x:v>
      </x:c>
      <x:c r="D29" s="61" t="n">
        <x:f>Assumptions!$D$6</x:f>
        <x:v>23</x:v>
      </x:c>
      <x:c r="E29" s="61" t="n">
        <x:f>C29*D29</x:f>
        <x:v>16100</x:v>
      </x:c>
      <x:c r="F29" s="60" t="n">
        <x:f>Assumptions!$C$7+(Assumptions!$D$7-Assumptions!$C$7)*1/12</x:f>
        <x:v>97.08333333333333</x:v>
      </x:c>
      <x:c r="G29" s="60" t="n">
        <x:f>Assumptions!$D$8</x:f>
        <x:v>12</x:v>
      </x:c>
      <x:c r="H29" s="61" t="n">
        <x:f>Assumptions!$D$9</x:f>
        <x:v>26</x:v>
      </x:c>
      <x:c r="I29" s="61" t="n">
        <x:f>F29*G29*H29</x:f>
        <x:v>30290</x:v>
      </x:c>
      <x:c r="J29" s="62" t="n">
        <x:f>Assumptions!$C$10+(Assumptions!$D$10-Assumptions!$C$10)*1/12</x:f>
        <x:v>4.833333333333333</x:v>
      </x:c>
      <x:c r="K29" s="61" t="n">
        <x:f>Assumptions!$D$11</x:f>
        <x:v>24000</x:v>
      </x:c>
      <x:c r="L29" s="61" t="n">
        <x:f>J29*K29/12</x:f>
        <x:v>9666.666666666666</x:v>
      </x:c>
      <x:c r="M29" s="60" t="n">
        <x:f>Assumptions!$C$12+(Assumptions!$D$12-Assumptions!$C$12)*1/12</x:f>
        <x:v>208.33333333333334</x:v>
      </x:c>
      <x:c r="N29" s="61" t="n">
        <x:f>Assumptions!$D$13</x:f>
        <x:v>95</x:v>
      </x:c>
      <x:c r="O29" s="61" t="n">
        <x:f>M29*N29</x:f>
        <x:v>19791.666666666668</x:v>
      </x:c>
      <x:c r="P29" s="62" t="n">
        <x:f>MAX(0,F29+J29-F28-J28)</x:f>
        <x:v>12.916666666666657</x:v>
      </x:c>
      <x:c r="Q29" s="61" t="n">
        <x:f>Assumptions!$D$14</x:f>
        <x:v>750</x:v>
      </x:c>
      <x:c r="R29" s="61" t="n">
        <x:f>P29*Q29</x:f>
        <x:v>9687.499999999993</x:v>
      </x:c>
      <x:c r="S29" s="61" t="n">
        <x:f>SUM(E29,I29,L29,O29,R29)</x:f>
        <x:v>85535.83333333331</x:v>
      </x:c>
    </x:row>
    <x:row r="30">
      <x:c r="A30" s="59" t="n">
        <x:v>47027</x:v>
      </x:c>
      <x:c r="B30" s="43" t="n">
        <x:v>3</x:v>
      </x:c>
      <x:c r="C30" s="60" t="n">
        <x:f>Assumptions!$C$5+(Assumptions!$D$5-Assumptions!$C$5)*2/12</x:f>
        <x:v>800</x:v>
      </x:c>
      <x:c r="D30" s="61" t="n">
        <x:f>Assumptions!$D$6</x:f>
        <x:v>23</x:v>
      </x:c>
      <x:c r="E30" s="61" t="n">
        <x:f>C30*D30</x:f>
        <x:v>18400</x:v>
      </x:c>
      <x:c r="F30" s="60" t="n">
        <x:f>Assumptions!$C$7+(Assumptions!$D$7-Assumptions!$C$7)*2/12</x:f>
        <x:v>109.16666666666667</x:v>
      </x:c>
      <x:c r="G30" s="60" t="n">
        <x:f>Assumptions!$D$8</x:f>
        <x:v>12</x:v>
      </x:c>
      <x:c r="H30" s="61" t="n">
        <x:f>Assumptions!$D$9</x:f>
        <x:v>26</x:v>
      </x:c>
      <x:c r="I30" s="61" t="n">
        <x:f>F30*G30*H30</x:f>
        <x:v>34060</x:v>
      </x:c>
      <x:c r="J30" s="62" t="n">
        <x:f>Assumptions!$C$10+(Assumptions!$D$10-Assumptions!$C$10)*2/12</x:f>
        <x:v>5.666666666666667</x:v>
      </x:c>
      <x:c r="K30" s="61" t="n">
        <x:f>Assumptions!$D$11</x:f>
        <x:v>24000</x:v>
      </x:c>
      <x:c r="L30" s="61" t="n">
        <x:f>J30*K30/12</x:f>
        <x:v>11333.333333333334</x:v>
      </x:c>
      <x:c r="M30" s="60" t="n">
        <x:f>Assumptions!$C$12+(Assumptions!$D$12-Assumptions!$C$12)*2/12</x:f>
        <x:v>246.66666666666669</x:v>
      </x:c>
      <x:c r="N30" s="61" t="n">
        <x:f>Assumptions!$D$13</x:f>
        <x:v>95</x:v>
      </x:c>
      <x:c r="O30" s="61" t="n">
        <x:f>M30*N30</x:f>
        <x:v>23433.333333333336</x:v>
      </x:c>
      <x:c r="P30" s="62" t="n">
        <x:f>MAX(0,F30+J30-F29-J29)</x:f>
        <x:v>12.916666666666682</x:v>
      </x:c>
      <x:c r="Q30" s="61" t="n">
        <x:f>Assumptions!$D$14</x:f>
        <x:v>750</x:v>
      </x:c>
      <x:c r="R30" s="61" t="n">
        <x:f>P30*Q30</x:f>
        <x:v>9687.500000000011</x:v>
      </x:c>
      <x:c r="S30" s="61" t="n">
        <x:f>SUM(E30,I30,L30,O30,R30)</x:f>
        <x:v>96914.16666666669</x:v>
      </x:c>
    </x:row>
    <x:row r="31">
      <x:c r="A31" s="59" t="n">
        <x:v>47058</x:v>
      </x:c>
      <x:c r="B31" s="43" t="n">
        <x:v>3</x:v>
      </x:c>
      <x:c r="C31" s="60" t="n">
        <x:f>Assumptions!$C$5+(Assumptions!$D$5-Assumptions!$C$5)*3/12</x:f>
        <x:v>900</x:v>
      </x:c>
      <x:c r="D31" s="61" t="n">
        <x:f>Assumptions!$D$6</x:f>
        <x:v>23</x:v>
      </x:c>
      <x:c r="E31" s="61" t="n">
        <x:f>C31*D31</x:f>
        <x:v>20700</x:v>
      </x:c>
      <x:c r="F31" s="60" t="n">
        <x:f>Assumptions!$C$7+(Assumptions!$D$7-Assumptions!$C$7)*3/12</x:f>
        <x:v>121.25</x:v>
      </x:c>
      <x:c r="G31" s="60" t="n">
        <x:f>Assumptions!$D$8</x:f>
        <x:v>12</x:v>
      </x:c>
      <x:c r="H31" s="61" t="n">
        <x:f>Assumptions!$D$9</x:f>
        <x:v>26</x:v>
      </x:c>
      <x:c r="I31" s="61" t="n">
        <x:f>F31*G31*H31</x:f>
        <x:v>37830</x:v>
      </x:c>
      <x:c r="J31" s="62" t="n">
        <x:f>Assumptions!$C$10+(Assumptions!$D$10-Assumptions!$C$10)*3/12</x:f>
        <x:v>6.5</x:v>
      </x:c>
      <x:c r="K31" s="61" t="n">
        <x:f>Assumptions!$D$11</x:f>
        <x:v>24000</x:v>
      </x:c>
      <x:c r="L31" s="61" t="n">
        <x:f>J31*K31/12</x:f>
        <x:v>13000</x:v>
      </x:c>
      <x:c r="M31" s="60" t="n">
        <x:f>Assumptions!$C$12+(Assumptions!$D$12-Assumptions!$C$12)*3/12</x:f>
        <x:v>285</x:v>
      </x:c>
      <x:c r="N31" s="61" t="n">
        <x:f>Assumptions!$D$13</x:f>
        <x:v>95</x:v>
      </x:c>
      <x:c r="O31" s="61" t="n">
        <x:f>M31*N31</x:f>
        <x:v>27075</x:v>
      </x:c>
      <x:c r="P31" s="62" t="n">
        <x:f>MAX(0,F31+J31-F30-J30)</x:f>
        <x:v>12.91666666666666</x:v>
      </x:c>
      <x:c r="Q31" s="61" t="n">
        <x:f>Assumptions!$D$14</x:f>
        <x:v>750</x:v>
      </x:c>
      <x:c r="R31" s="61" t="n">
        <x:f>P31*Q31</x:f>
        <x:v>9687.499999999996</x:v>
      </x:c>
      <x:c r="S31" s="61" t="n">
        <x:f>SUM(E31,I31,L31,O31,R31)</x:f>
        <x:v>108292.5</x:v>
      </x:c>
    </x:row>
    <x:row r="32">
      <x:c r="A32" s="59" t="n">
        <x:v>47088</x:v>
      </x:c>
      <x:c r="B32" s="43" t="n">
        <x:v>3</x:v>
      </x:c>
      <x:c r="C32" s="60" t="n">
        <x:f>Assumptions!$C$5+(Assumptions!$D$5-Assumptions!$C$5)*4/12</x:f>
        <x:v>1000</x:v>
      </x:c>
      <x:c r="D32" s="61" t="n">
        <x:f>Assumptions!$D$6</x:f>
        <x:v>23</x:v>
      </x:c>
      <x:c r="E32" s="61" t="n">
        <x:f>C32*D32</x:f>
        <x:v>23000</x:v>
      </x:c>
      <x:c r="F32" s="60" t="n">
        <x:f>Assumptions!$C$7+(Assumptions!$D$7-Assumptions!$C$7)*4/12</x:f>
        <x:v>133.33333333333334</x:v>
      </x:c>
      <x:c r="G32" s="60" t="n">
        <x:f>Assumptions!$D$8</x:f>
        <x:v>12</x:v>
      </x:c>
      <x:c r="H32" s="61" t="n">
        <x:f>Assumptions!$D$9</x:f>
        <x:v>26</x:v>
      </x:c>
      <x:c r="I32" s="61" t="n">
        <x:f>F32*G32*H32</x:f>
        <x:v>41600</x:v>
      </x:c>
      <x:c r="J32" s="62" t="n">
        <x:f>Assumptions!$C$10+(Assumptions!$D$10-Assumptions!$C$10)*4/12</x:f>
        <x:v>7.333333333333334</x:v>
      </x:c>
      <x:c r="K32" s="61" t="n">
        <x:f>Assumptions!$D$11</x:f>
        <x:v>24000</x:v>
      </x:c>
      <x:c r="L32" s="61" t="n">
        <x:f>J32*K32/12</x:f>
        <x:v>14666.666666666666</x:v>
      </x:c>
      <x:c r="M32" s="60" t="n">
        <x:f>Assumptions!$C$12+(Assumptions!$D$12-Assumptions!$C$12)*4/12</x:f>
        <x:v>323.33333333333337</x:v>
      </x:c>
      <x:c r="N32" s="61" t="n">
        <x:f>Assumptions!$D$13</x:f>
        <x:v>95</x:v>
      </x:c>
      <x:c r="O32" s="61" t="n">
        <x:f>M32*N32</x:f>
        <x:v>30716.66666666667</x:v>
      </x:c>
      <x:c r="P32" s="62" t="n">
        <x:f>MAX(0,F32+J32-F31-J31)</x:f>
        <x:v>12.916666666666686</x:v>
      </x:c>
      <x:c r="Q32" s="61" t="n">
        <x:f>Assumptions!$D$14</x:f>
        <x:v>750</x:v>
      </x:c>
      <x:c r="R32" s="61" t="n">
        <x:f>P32*Q32</x:f>
        <x:v>9687.500000000015</x:v>
      </x:c>
      <x:c r="S32" s="61" t="n">
        <x:f>SUM(E32,I32,L32,O32,R32)</x:f>
        <x:v>119670.83333333336</x:v>
      </x:c>
    </x:row>
    <x:row r="33">
      <x:c r="A33" s="59" t="n">
        <x:v>47119</x:v>
      </x:c>
      <x:c r="B33" s="43" t="n">
        <x:v>3</x:v>
      </x:c>
      <x:c r="C33" s="60" t="n">
        <x:f>Assumptions!$C$5+(Assumptions!$D$5-Assumptions!$C$5)*5/12</x:f>
        <x:v>1100</x:v>
      </x:c>
      <x:c r="D33" s="61" t="n">
        <x:f>Assumptions!$D$6</x:f>
        <x:v>23</x:v>
      </x:c>
      <x:c r="E33" s="61" t="n">
        <x:f>C33*D33</x:f>
        <x:v>25300</x:v>
      </x:c>
      <x:c r="F33" s="60" t="n">
        <x:f>Assumptions!$C$7+(Assumptions!$D$7-Assumptions!$C$7)*5/12</x:f>
        <x:v>145.41666666666666</x:v>
      </x:c>
      <x:c r="G33" s="60" t="n">
        <x:f>Assumptions!$D$8</x:f>
        <x:v>12</x:v>
      </x:c>
      <x:c r="H33" s="61" t="n">
        <x:f>Assumptions!$D$9</x:f>
        <x:v>26</x:v>
      </x:c>
      <x:c r="I33" s="61" t="n">
        <x:f>F33*G33*H33</x:f>
        <x:v>45370</x:v>
      </x:c>
      <x:c r="J33" s="62" t="n">
        <x:f>Assumptions!$C$10+(Assumptions!$D$10-Assumptions!$C$10)*5/12</x:f>
        <x:v>8.166666666666668</x:v>
      </x:c>
      <x:c r="K33" s="61" t="n">
        <x:f>Assumptions!$D$11</x:f>
        <x:v>24000</x:v>
      </x:c>
      <x:c r="L33" s="61" t="n">
        <x:f>J33*K33/12</x:f>
        <x:v>16333.333333333336</x:v>
      </x:c>
      <x:c r="M33" s="60" t="n">
        <x:f>Assumptions!$C$12+(Assumptions!$D$12-Assumptions!$C$12)*5/12</x:f>
        <x:v>361.66666666666663</x:v>
      </x:c>
      <x:c r="N33" s="61" t="n">
        <x:f>Assumptions!$D$13</x:f>
        <x:v>95</x:v>
      </x:c>
      <x:c r="O33" s="61" t="n">
        <x:f>M33*N33</x:f>
        <x:v>34358.33333333333</x:v>
      </x:c>
      <x:c r="P33" s="62" t="n">
        <x:f>MAX(0,F33+J33-F32-J32)</x:f>
        <x:v>12.916666666666638</x:v>
      </x:c>
      <x:c r="Q33" s="61" t="n">
        <x:f>Assumptions!$D$14</x:f>
        <x:v>750</x:v>
      </x:c>
      <x:c r="R33" s="61" t="n">
        <x:f>P33*Q33</x:f>
        <x:v>9687.499999999978</x:v>
      </x:c>
      <x:c r="S33" s="61" t="n">
        <x:f>SUM(E33,I33,L33,O33,R33)</x:f>
        <x:v>131049.16666666666</x:v>
      </x:c>
    </x:row>
    <x:row r="34">
      <x:c r="A34" s="59" t="n">
        <x:v>47150</x:v>
      </x:c>
      <x:c r="B34" s="43" t="n">
        <x:v>3</x:v>
      </x:c>
      <x:c r="C34" s="60" t="n">
        <x:f>Assumptions!$C$5+(Assumptions!$D$5-Assumptions!$C$5)*6/12</x:f>
        <x:v>1200</x:v>
      </x:c>
      <x:c r="D34" s="61" t="n">
        <x:f>Assumptions!$D$6</x:f>
        <x:v>23</x:v>
      </x:c>
      <x:c r="E34" s="61" t="n">
        <x:f>C34*D34</x:f>
        <x:v>27600</x:v>
      </x:c>
      <x:c r="F34" s="60" t="n">
        <x:f>Assumptions!$C$7+(Assumptions!$D$7-Assumptions!$C$7)*6/12</x:f>
        <x:v>157.5</x:v>
      </x:c>
      <x:c r="G34" s="60" t="n">
        <x:f>Assumptions!$D$8</x:f>
        <x:v>12</x:v>
      </x:c>
      <x:c r="H34" s="61" t="n">
        <x:f>Assumptions!$D$9</x:f>
        <x:v>26</x:v>
      </x:c>
      <x:c r="I34" s="61" t="n">
        <x:f>F34*G34*H34</x:f>
        <x:v>49140</x:v>
      </x:c>
      <x:c r="J34" s="62" t="n">
        <x:f>Assumptions!$C$10+(Assumptions!$D$10-Assumptions!$C$10)*6/12</x:f>
        <x:v>9</x:v>
      </x:c>
      <x:c r="K34" s="61" t="n">
        <x:f>Assumptions!$D$11</x:f>
        <x:v>24000</x:v>
      </x:c>
      <x:c r="L34" s="61" t="n">
        <x:f>J34*K34/12</x:f>
        <x:v>18000</x:v>
      </x:c>
      <x:c r="M34" s="60" t="n">
        <x:f>Assumptions!$C$12+(Assumptions!$D$12-Assumptions!$C$12)*6/12</x:f>
        <x:v>400</x:v>
      </x:c>
      <x:c r="N34" s="61" t="n">
        <x:f>Assumptions!$D$13</x:f>
        <x:v>95</x:v>
      </x:c>
      <x:c r="O34" s="61" t="n">
        <x:f>M34*N34</x:f>
        <x:v>38000</x:v>
      </x:c>
      <x:c r="P34" s="62" t="n">
        <x:f>MAX(0,F34+J34-F33-J33)</x:f>
        <x:v>12.916666666666675</x:v>
      </x:c>
      <x:c r="Q34" s="61" t="n">
        <x:f>Assumptions!$D$14</x:f>
        <x:v>750</x:v>
      </x:c>
      <x:c r="R34" s="61" t="n">
        <x:f>P34*Q34</x:f>
        <x:v>9687.500000000005</x:v>
      </x:c>
      <x:c r="S34" s="61" t="n">
        <x:f>SUM(E34,I34,L34,O34,R34)</x:f>
        <x:v>142427.5</x:v>
      </x:c>
    </x:row>
    <x:row r="35">
      <x:c r="A35" s="59" t="n">
        <x:v>47178</x:v>
      </x:c>
      <x:c r="B35" s="43" t="n">
        <x:v>3</x:v>
      </x:c>
      <x:c r="C35" s="60" t="n">
        <x:f>Assumptions!$C$5+(Assumptions!$D$5-Assumptions!$C$5)*7/12</x:f>
        <x:v>1300</x:v>
      </x:c>
      <x:c r="D35" s="61" t="n">
        <x:f>Assumptions!$D$6</x:f>
        <x:v>23</x:v>
      </x:c>
      <x:c r="E35" s="61" t="n">
        <x:f>C35*D35</x:f>
        <x:v>29900</x:v>
      </x:c>
      <x:c r="F35" s="60" t="n">
        <x:f>Assumptions!$C$7+(Assumptions!$D$7-Assumptions!$C$7)*7/12</x:f>
        <x:v>169.58333333333331</x:v>
      </x:c>
      <x:c r="G35" s="60" t="n">
        <x:f>Assumptions!$D$8</x:f>
        <x:v>12</x:v>
      </x:c>
      <x:c r="H35" s="61" t="n">
        <x:f>Assumptions!$D$9</x:f>
        <x:v>26</x:v>
      </x:c>
      <x:c r="I35" s="61" t="n">
        <x:f>F35*G35*H35</x:f>
        <x:v>52909.99999999999</x:v>
      </x:c>
      <x:c r="J35" s="62" t="n">
        <x:f>Assumptions!$C$10+(Assumptions!$D$10-Assumptions!$C$10)*7/12</x:f>
        <x:v>9.833333333333332</x:v>
      </x:c>
      <x:c r="K35" s="61" t="n">
        <x:f>Assumptions!$D$11</x:f>
        <x:v>24000</x:v>
      </x:c>
      <x:c r="L35" s="61" t="n">
        <x:f>J35*K35/12</x:f>
        <x:v>19666.666666666664</x:v>
      </x:c>
      <x:c r="M35" s="60" t="n">
        <x:f>Assumptions!$C$12+(Assumptions!$D$12-Assumptions!$C$12)*7/12</x:f>
        <x:v>438.3333333333333</x:v>
      </x:c>
      <x:c r="N35" s="61" t="n">
        <x:f>Assumptions!$D$13</x:f>
        <x:v>95</x:v>
      </x:c>
      <x:c r="O35" s="61" t="n">
        <x:f>M35*N35</x:f>
        <x:v>41641.666666666664</x:v>
      </x:c>
      <x:c r="P35" s="62" t="n">
        <x:f>MAX(0,F35+J35-F34-J34)</x:f>
        <x:v>12.916666666666657</x:v>
      </x:c>
      <x:c r="Q35" s="61" t="n">
        <x:f>Assumptions!$D$14</x:f>
        <x:v>750</x:v>
      </x:c>
      <x:c r="R35" s="61" t="n">
        <x:f>P35*Q35</x:f>
        <x:v>9687.499999999993</x:v>
      </x:c>
      <x:c r="S35" s="61" t="n">
        <x:f>SUM(E35,I35,L35,O35,R35)</x:f>
        <x:v>153805.8333333333</x:v>
      </x:c>
    </x:row>
    <x:row r="36">
      <x:c r="A36" s="59" t="n">
        <x:v>47209</x:v>
      </x:c>
      <x:c r="B36" s="43" t="n">
        <x:v>3</x:v>
      </x:c>
      <x:c r="C36" s="60" t="n">
        <x:f>Assumptions!$C$5+(Assumptions!$D$5-Assumptions!$C$5)*8/12</x:f>
        <x:v>1400</x:v>
      </x:c>
      <x:c r="D36" s="61" t="n">
        <x:f>Assumptions!$D$6</x:f>
        <x:v>23</x:v>
      </x:c>
      <x:c r="E36" s="61" t="n">
        <x:f>C36*D36</x:f>
        <x:v>32200</x:v>
      </x:c>
      <x:c r="F36" s="60" t="n">
        <x:f>Assumptions!$C$7+(Assumptions!$D$7-Assumptions!$C$7)*8/12</x:f>
        <x:v>181.66666666666669</x:v>
      </x:c>
      <x:c r="G36" s="60" t="n">
        <x:f>Assumptions!$D$8</x:f>
        <x:v>12</x:v>
      </x:c>
      <x:c r="H36" s="61" t="n">
        <x:f>Assumptions!$D$9</x:f>
        <x:v>26</x:v>
      </x:c>
      <x:c r="I36" s="61" t="n">
        <x:f>F36*G36*H36</x:f>
        <x:v>56680</x:v>
      </x:c>
      <x:c r="J36" s="62" t="n">
        <x:f>Assumptions!$C$10+(Assumptions!$D$10-Assumptions!$C$10)*8/12</x:f>
        <x:v>10.666666666666668</x:v>
      </x:c>
      <x:c r="K36" s="61" t="n">
        <x:f>Assumptions!$D$11</x:f>
        <x:v>24000</x:v>
      </x:c>
      <x:c r="L36" s="61" t="n">
        <x:f>J36*K36/12</x:f>
        <x:v>21333.333333333336</x:v>
      </x:c>
      <x:c r="M36" s="60" t="n">
        <x:f>Assumptions!$C$12+(Assumptions!$D$12-Assumptions!$C$12)*8/12</x:f>
        <x:v>476.6666666666667</x:v>
      </x:c>
      <x:c r="N36" s="61" t="n">
        <x:f>Assumptions!$D$13</x:f>
        <x:v>95</x:v>
      </x:c>
      <x:c r="O36" s="61" t="n">
        <x:f>M36*N36</x:f>
        <x:v>45283.333333333336</x:v>
      </x:c>
      <x:c r="P36" s="62" t="n">
        <x:f>MAX(0,F36+J36-F35-J35)</x:f>
        <x:v>12.916666666666696</x:v>
      </x:c>
      <x:c r="Q36" s="61" t="n">
        <x:f>Assumptions!$D$14</x:f>
        <x:v>750</x:v>
      </x:c>
      <x:c r="R36" s="61" t="n">
        <x:f>P36*Q36</x:f>
        <x:v>9687.500000000022</x:v>
      </x:c>
      <x:c r="S36" s="61" t="n">
        <x:f>SUM(E36,I36,L36,O36,R36)</x:f>
        <x:v>165184.16666666672</x:v>
      </x:c>
    </x:row>
    <x:row r="37">
      <x:c r="A37" s="59" t="n">
        <x:v>47239</x:v>
      </x:c>
      <x:c r="B37" s="43" t="n">
        <x:v>3</x:v>
      </x:c>
      <x:c r="C37" s="60" t="n">
        <x:f>Assumptions!$C$5+(Assumptions!$D$5-Assumptions!$C$5)*9/12</x:f>
        <x:v>1500</x:v>
      </x:c>
      <x:c r="D37" s="61" t="n">
        <x:f>Assumptions!$D$6</x:f>
        <x:v>23</x:v>
      </x:c>
      <x:c r="E37" s="61" t="n">
        <x:f>C37*D37</x:f>
        <x:v>34500</x:v>
      </x:c>
      <x:c r="F37" s="60" t="n">
        <x:f>Assumptions!$C$7+(Assumptions!$D$7-Assumptions!$C$7)*9/12</x:f>
        <x:v>193.75</x:v>
      </x:c>
      <x:c r="G37" s="60" t="n">
        <x:f>Assumptions!$D$8</x:f>
        <x:v>12</x:v>
      </x:c>
      <x:c r="H37" s="61" t="n">
        <x:f>Assumptions!$D$9</x:f>
        <x:v>26</x:v>
      </x:c>
      <x:c r="I37" s="61" t="n">
        <x:f>F37*G37*H37</x:f>
        <x:v>60450</x:v>
      </x:c>
      <x:c r="J37" s="62" t="n">
        <x:f>Assumptions!$C$10+(Assumptions!$D$10-Assumptions!$C$10)*9/12</x:f>
        <x:v>11.5</x:v>
      </x:c>
      <x:c r="K37" s="61" t="n">
        <x:f>Assumptions!$D$11</x:f>
        <x:v>24000</x:v>
      </x:c>
      <x:c r="L37" s="61" t="n">
        <x:f>J37*K37/12</x:f>
        <x:v>23000</x:v>
      </x:c>
      <x:c r="M37" s="60" t="n">
        <x:f>Assumptions!$C$12+(Assumptions!$D$12-Assumptions!$C$12)*9/12</x:f>
        <x:v>515</x:v>
      </x:c>
      <x:c r="N37" s="61" t="n">
        <x:f>Assumptions!$D$13</x:f>
        <x:v>95</x:v>
      </x:c>
      <x:c r="O37" s="61" t="n">
        <x:f>M37*N37</x:f>
        <x:v>48925</x:v>
      </x:c>
      <x:c r="P37" s="62" t="n">
        <x:f>MAX(0,F37+J37-F36-J36)</x:f>
        <x:v>12.916666666666647</x:v>
      </x:c>
      <x:c r="Q37" s="61" t="n">
        <x:f>Assumptions!$D$14</x:f>
        <x:v>750</x:v>
      </x:c>
      <x:c r="R37" s="61" t="n">
        <x:f>P37*Q37</x:f>
        <x:v>9687.499999999985</x:v>
      </x:c>
      <x:c r="S37" s="61" t="n">
        <x:f>SUM(E37,I37,L37,O37,R37)</x:f>
        <x:v>176562.5</x:v>
      </x:c>
    </x:row>
    <x:row r="38">
      <x:c r="A38" s="59" t="n">
        <x:v>47270</x:v>
      </x:c>
      <x:c r="B38" s="43" t="n">
        <x:v>3</x:v>
      </x:c>
      <x:c r="C38" s="60" t="n">
        <x:f>Assumptions!$C$5+(Assumptions!$D$5-Assumptions!$C$5)*10/12</x:f>
        <x:v>1600</x:v>
      </x:c>
      <x:c r="D38" s="61" t="n">
        <x:f>Assumptions!$D$6</x:f>
        <x:v>23</x:v>
      </x:c>
      <x:c r="E38" s="61" t="n">
        <x:f>C38*D38</x:f>
        <x:v>36800</x:v>
      </x:c>
      <x:c r="F38" s="60" t="n">
        <x:f>Assumptions!$C$7+(Assumptions!$D$7-Assumptions!$C$7)*10/12</x:f>
        <x:v>205.83333333333331</x:v>
      </x:c>
      <x:c r="G38" s="60" t="n">
        <x:f>Assumptions!$D$8</x:f>
        <x:v>12</x:v>
      </x:c>
      <x:c r="H38" s="61" t="n">
        <x:f>Assumptions!$D$9</x:f>
        <x:v>26</x:v>
      </x:c>
      <x:c r="I38" s="61" t="n">
        <x:f>F38*G38*H38</x:f>
        <x:v>64220</x:v>
      </x:c>
      <x:c r="J38" s="62" t="n">
        <x:f>Assumptions!$C$10+(Assumptions!$D$10-Assumptions!$C$10)*10/12</x:f>
        <x:v>12.333333333333334</x:v>
      </x:c>
      <x:c r="K38" s="61" t="n">
        <x:f>Assumptions!$D$11</x:f>
        <x:v>24000</x:v>
      </x:c>
      <x:c r="L38" s="61" t="n">
        <x:f>J38*K38/12</x:f>
        <x:v>24666.666666666668</x:v>
      </x:c>
      <x:c r="M38" s="60" t="n">
        <x:f>Assumptions!$C$12+(Assumptions!$D$12-Assumptions!$C$12)*10/12</x:f>
        <x:v>553.3333333333333</x:v>
      </x:c>
      <x:c r="N38" s="61" t="n">
        <x:f>Assumptions!$D$13</x:f>
        <x:v>95</x:v>
      </x:c>
      <x:c r="O38" s="61" t="n">
        <x:f>M38*N38</x:f>
        <x:v>52566.66666666666</x:v>
      </x:c>
      <x:c r="P38" s="62" t="n">
        <x:f>MAX(0,F38+J38-F37-J37)</x:f>
        <x:v>12.916666666666657</x:v>
      </x:c>
      <x:c r="Q38" s="61" t="n">
        <x:f>Assumptions!$D$14</x:f>
        <x:v>750</x:v>
      </x:c>
      <x:c r="R38" s="61" t="n">
        <x:f>P38*Q38</x:f>
        <x:v>9687.499999999993</x:v>
      </x:c>
      <x:c r="S38" s="61" t="n">
        <x:f>SUM(E38,I38,L38,O38,R38)</x:f>
        <x:v>187940.8333333333</x:v>
      </x:c>
    </x:row>
    <x:row r="39">
      <x:c r="A39" s="59" t="n">
        <x:v>47300</x:v>
      </x:c>
      <x:c r="B39" s="43" t="n">
        <x:v>3</x:v>
      </x:c>
      <x:c r="C39" s="60" t="n">
        <x:f>Assumptions!$C$5+(Assumptions!$D$5-Assumptions!$C$5)*11/12</x:f>
        <x:v>1700</x:v>
      </x:c>
      <x:c r="D39" s="61" t="n">
        <x:f>Assumptions!$D$6</x:f>
        <x:v>23</x:v>
      </x:c>
      <x:c r="E39" s="61" t="n">
        <x:f>C39*D39</x:f>
        <x:v>39100</x:v>
      </x:c>
      <x:c r="F39" s="60" t="n">
        <x:f>Assumptions!$C$7+(Assumptions!$D$7-Assumptions!$C$7)*11/12</x:f>
        <x:v>217.91666666666666</x:v>
      </x:c>
      <x:c r="G39" s="60" t="n">
        <x:f>Assumptions!$D$8</x:f>
        <x:v>12</x:v>
      </x:c>
      <x:c r="H39" s="61" t="n">
        <x:f>Assumptions!$D$9</x:f>
        <x:v>26</x:v>
      </x:c>
      <x:c r="I39" s="61" t="n">
        <x:f>F39*G39*H39</x:f>
        <x:v>67990</x:v>
      </x:c>
      <x:c r="J39" s="62" t="n">
        <x:f>Assumptions!$C$10+(Assumptions!$D$10-Assumptions!$C$10)*11/12</x:f>
        <x:v>13.166666666666666</x:v>
      </x:c>
      <x:c r="K39" s="61" t="n">
        <x:f>Assumptions!$D$11</x:f>
        <x:v>24000</x:v>
      </x:c>
      <x:c r="L39" s="61" t="n">
        <x:f>J39*K39/12</x:f>
        <x:v>26333.333333333332</x:v>
      </x:c>
      <x:c r="M39" s="60" t="n">
        <x:f>Assumptions!$C$12+(Assumptions!$D$12-Assumptions!$C$12)*11/12</x:f>
        <x:v>591.6666666666667</x:v>
      </x:c>
      <x:c r="N39" s="61" t="n">
        <x:f>Assumptions!$D$13</x:f>
        <x:v>95</x:v>
      </x:c>
      <x:c r="O39" s="61" t="n">
        <x:f>M39*N39</x:f>
        <x:v>56208.33333333334</x:v>
      </x:c>
      <x:c r="P39" s="62" t="n">
        <x:f>MAX(0,F39+J39-F38-J38)</x:f>
        <x:v>12.916666666666666</x:v>
      </x:c>
      <x:c r="Q39" s="61" t="n">
        <x:f>Assumptions!$D$14</x:f>
        <x:v>750</x:v>
      </x:c>
      <x:c r="R39" s="61" t="n">
        <x:f>P39*Q39</x:f>
        <x:v>9687.5</x:v>
      </x:c>
      <x:c r="S39" s="61" t="n">
        <x:f>SUM(E39,I39,L39,O39,R39)</x:f>
        <x:v>199319.1666666667</x:v>
      </x:c>
    </x:row>
    <x:row r="40">
      <x:c r="A40" s="59" t="n">
        <x:v>47331</x:v>
      </x:c>
      <x:c r="B40" s="43" t="n">
        <x:v>3</x:v>
      </x:c>
      <x:c r="C40" s="60" t="n">
        <x:f>Assumptions!$C$5+(Assumptions!$D$5-Assumptions!$C$5)*12/12</x:f>
        <x:v>1800</x:v>
      </x:c>
      <x:c r="D40" s="61" t="n">
        <x:f>Assumptions!$D$6</x:f>
        <x:v>23</x:v>
      </x:c>
      <x:c r="E40" s="61" t="n">
        <x:f>C40*D40</x:f>
        <x:v>41400</x:v>
      </x:c>
      <x:c r="F40" s="60" t="n">
        <x:f>Assumptions!$C$7+(Assumptions!$D$7-Assumptions!$C$7)*12/12</x:f>
        <x:v>230</x:v>
      </x:c>
      <x:c r="G40" s="60" t="n">
        <x:f>Assumptions!$D$8</x:f>
        <x:v>12</x:v>
      </x:c>
      <x:c r="H40" s="61" t="n">
        <x:f>Assumptions!$D$9</x:f>
        <x:v>26</x:v>
      </x:c>
      <x:c r="I40" s="61" t="n">
        <x:f>F40*G40*H40</x:f>
        <x:v>71760</x:v>
      </x:c>
      <x:c r="J40" s="62" t="n">
        <x:f>Assumptions!$C$10+(Assumptions!$D$10-Assumptions!$C$10)*12/12</x:f>
        <x:v>14</x:v>
      </x:c>
      <x:c r="K40" s="61" t="n">
        <x:f>Assumptions!$D$11</x:f>
        <x:v>24000</x:v>
      </x:c>
      <x:c r="L40" s="61" t="n">
        <x:f>J40*K40/12</x:f>
        <x:v>28000</x:v>
      </x:c>
      <x:c r="M40" s="60" t="n">
        <x:f>Assumptions!$C$12+(Assumptions!$D$12-Assumptions!$C$12)*12/12</x:f>
        <x:v>630</x:v>
      </x:c>
      <x:c r="N40" s="61" t="n">
        <x:f>Assumptions!$D$13</x:f>
        <x:v>95</x:v>
      </x:c>
      <x:c r="O40" s="61" t="n">
        <x:f>M40*N40</x:f>
        <x:v>59850</x:v>
      </x:c>
      <x:c r="P40" s="62" t="n">
        <x:f>MAX(0,F40+J40-F39-J39)</x:f>
        <x:v>12.916666666666677</x:v>
      </x:c>
      <x:c r="Q40" s="61" t="n">
        <x:f>Assumptions!$D$14</x:f>
        <x:v>750</x:v>
      </x:c>
      <x:c r="R40" s="61" t="n">
        <x:f>P40*Q40</x:f>
        <x:v>9687.500000000007</x:v>
      </x:c>
      <x:c r="S40" s="61" t="n">
        <x:f>SUM(E40,I40,L40,O40,R40)</x:f>
        <x:v>210697.5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7" hidden="0" customWidth="1"/>
  </x:cols>
  <x:sheetData>
    <x:row r="1" ht="34" customHeight="1">
      <x:c r="A1" s="42" t="str">
        <x:v>MIMAR Engage — Monthly Revenue Build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43"/>
      <x:c r="R1" s="43"/>
    </x:row>
    <x:row r="2" ht="26" customHeight="1">
      <x:c r="A2" s="44" t="str">
        <x:v>Subscriptions, MIMAR usage/add-ons and onboarding are separate. Meta/channel fees are pass-through and excluded.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  <x:c r="R3" s="43"/>
    </x:row>
    <x:row r="4" ht="24" customHeight="1">
      <x:c r="A4" s="45" t="str">
        <x:v>Month</x:v>
      </x:c>
      <x:c r="B4" s="45" t="str">
        <x:v>Year</x:v>
      </x:c>
      <x:c r="C4" s="45" t="str">
        <x:v>Starter accts</x:v>
      </x:c>
      <x:c r="D4" s="45" t="str">
        <x:v>Starter rev.</x:v>
      </x:c>
      <x:c r="E4" s="45" t="str">
        <x:v>Growth accts</x:v>
      </x:c>
      <x:c r="F4" s="45" t="str">
        <x:v>Growth rev.</x:v>
      </x:c>
      <x:c r="G4" s="45" t="str">
        <x:v>Scale accts</x:v>
      </x:c>
      <x:c r="H4" s="45" t="str">
        <x:v>Scale rev.</x:v>
      </x:c>
      <x:c r="I4" s="45" t="str">
        <x:v>Enterprise accts</x:v>
      </x:c>
      <x:c r="J4" s="45" t="str">
        <x:v>Enterprise rev.</x:v>
      </x:c>
      <x:c r="K4" s="45" t="str">
        <x:v>Usage %</x:v>
      </x:c>
      <x:c r="L4" s="45" t="str">
        <x:v>Usage/add-ons</x:v>
      </x:c>
      <x:c r="M4" s="45" t="str">
        <x:v>New standard</x:v>
      </x:c>
      <x:c r="N4" s="45" t="str">
        <x:v>Std onboarding fee</x:v>
      </x:c>
      <x:c r="O4" s="45" t="str">
        <x:v>New enterprise</x:v>
      </x:c>
      <x:c r="P4" s="45" t="str">
        <x:v>Ent onboarding fee</x:v>
      </x:c>
      <x:c r="Q4" s="45" t="str">
        <x:v>Onboarding rev.</x:v>
      </x:c>
      <x:c r="R4" s="45" t="str">
        <x:v>ENGAGE TOTAL</x:v>
      </x:c>
    </x:row>
    <x:row r="5">
      <x:c r="A5" s="59" t="n">
        <x:v>46266</x:v>
      </x:c>
      <x:c r="B5" s="43" t="n">
        <x:v>1</x:v>
      </x:c>
      <x:c r="C5" s="60" t="n">
        <x:f>Assumptions!$B$17*1/12</x:f>
        <x:v>1.3333333333333333</x:v>
      </x:c>
      <x:c r="D5" s="61" t="n">
        <x:f>C5*Assumptions!$B$18</x:f>
        <x:v>132</x:v>
      </x:c>
      <x:c r="E5" s="60" t="n">
        <x:f>Assumptions!$B$19*1/12</x:f>
        <x:v>1.3333333333333333</x:v>
      </x:c>
      <x:c r="F5" s="61" t="n">
        <x:f>E5*Assumptions!$B$20</x:f>
        <x:v>332</x:v>
      </x:c>
      <x:c r="G5" s="60" t="n">
        <x:f>Assumptions!$B$21*1/12</x:f>
        <x:v>0.25</x:v>
      </x:c>
      <x:c r="H5" s="61" t="n">
        <x:f>G5*Assumptions!$B$22</x:f>
        <x:v>149.75</x:v>
      </x:c>
      <x:c r="I5" s="62" t="n">
        <x:f>Assumptions!$B$23*1/12</x:f>
        <x:v>0.08333333333333333</x:v>
      </x:c>
      <x:c r="J5" s="61" t="n">
        <x:f>I5*Assumptions!$B$24</x:f>
        <x:v>83.33333333333333</x:v>
      </x:c>
      <x:c r="K5" s="53" t="n">
        <x:f>Assumptions!$B$25</x:f>
        <x:v>0</x:v>
      </x:c>
      <x:c r="L5" s="61" t="n">
        <x:f>SUM(D5,F5,H5,J5)*K5</x:f>
        <x:v>0</x:v>
      </x:c>
      <x:c r="M5" s="62" t="n">
        <x:f>MAX(0,C5+E5+G5-0-0-0)</x:f>
        <x:v>2.9166666666666665</x:v>
      </x:c>
      <x:c r="N5" s="61" t="n">
        <x:f>Assumptions!$B$26</x:f>
        <x:v>600</x:v>
      </x:c>
      <x:c r="O5" s="62" t="n">
        <x:f>MAX(0,I5-0)</x:f>
        <x:v>0.08333333333333333</x:v>
      </x:c>
      <x:c r="P5" s="61" t="n">
        <x:f>Assumptions!$B$27</x:f>
        <x:v>3000</x:v>
      </x:c>
      <x:c r="Q5" s="61" t="n">
        <x:f>M5*N5+O5*P5</x:f>
        <x:v>2000</x:v>
      </x:c>
      <x:c r="R5" s="61" t="n">
        <x:f>SUM(D5,F5,H5,J5,L5,Q5)</x:f>
        <x:v>2697.0833333333335</x:v>
      </x:c>
    </x:row>
    <x:row r="6">
      <x:c r="A6" s="59" t="n">
        <x:v>46296</x:v>
      </x:c>
      <x:c r="B6" s="43" t="n">
        <x:v>1</x:v>
      </x:c>
      <x:c r="C6" s="60" t="n">
        <x:f>Assumptions!$B$17*2/12</x:f>
        <x:v>2.6666666666666665</x:v>
      </x:c>
      <x:c r="D6" s="61" t="n">
        <x:f>C6*Assumptions!$B$18</x:f>
        <x:v>264</x:v>
      </x:c>
      <x:c r="E6" s="60" t="n">
        <x:f>Assumptions!$B$19*2/12</x:f>
        <x:v>2.6666666666666665</x:v>
      </x:c>
      <x:c r="F6" s="61" t="n">
        <x:f>E6*Assumptions!$B$20</x:f>
        <x:v>664</x:v>
      </x:c>
      <x:c r="G6" s="60" t="n">
        <x:f>Assumptions!$B$21*2/12</x:f>
        <x:v>0.5</x:v>
      </x:c>
      <x:c r="H6" s="61" t="n">
        <x:f>G6*Assumptions!$B$22</x:f>
        <x:v>299.5</x:v>
      </x:c>
      <x:c r="I6" s="62" t="n">
        <x:f>Assumptions!$B$23*2/12</x:f>
        <x:v>0.16666666666666666</x:v>
      </x:c>
      <x:c r="J6" s="61" t="n">
        <x:f>I6*Assumptions!$B$24</x:f>
        <x:v>166.66666666666666</x:v>
      </x:c>
      <x:c r="K6" s="53" t="n">
        <x:f>Assumptions!$B$25</x:f>
        <x:v>0</x:v>
      </x:c>
      <x:c r="L6" s="61" t="n">
        <x:f>SUM(D6,F6,H6,J6)*K6</x:f>
        <x:v>0</x:v>
      </x:c>
      <x:c r="M6" s="62" t="n">
        <x:f>MAX(0,C6+E6+G6-C5-E5-G5)</x:f>
        <x:v>2.916666666666667</x:v>
      </x:c>
      <x:c r="N6" s="61" t="n">
        <x:f>Assumptions!$B$26</x:f>
        <x:v>600</x:v>
      </x:c>
      <x:c r="O6" s="62" t="n">
        <x:f>MAX(0,I6-I5)</x:f>
        <x:v>0.08333333333333333</x:v>
      </x:c>
      <x:c r="P6" s="61" t="n">
        <x:f>Assumptions!$B$27</x:f>
        <x:v>3000</x:v>
      </x:c>
      <x:c r="Q6" s="61" t="n">
        <x:f>M6*N6+O6*P6</x:f>
        <x:v>2000.0000000000002</x:v>
      </x:c>
      <x:c r="R6" s="61" t="n">
        <x:f>SUM(D6,F6,H6,J6,L6,Q6)</x:f>
        <x:v>3394.166666666667</x:v>
      </x:c>
    </x:row>
    <x:row r="7">
      <x:c r="A7" s="59" t="n">
        <x:v>46327</x:v>
      </x:c>
      <x:c r="B7" s="43" t="n">
        <x:v>1</x:v>
      </x:c>
      <x:c r="C7" s="60" t="n">
        <x:f>Assumptions!$B$17*3/12</x:f>
        <x:v>4</x:v>
      </x:c>
      <x:c r="D7" s="61" t="n">
        <x:f>C7*Assumptions!$B$18</x:f>
        <x:v>396</x:v>
      </x:c>
      <x:c r="E7" s="60" t="n">
        <x:f>Assumptions!$B$19*3/12</x:f>
        <x:v>4</x:v>
      </x:c>
      <x:c r="F7" s="61" t="n">
        <x:f>E7*Assumptions!$B$20</x:f>
        <x:v>996</x:v>
      </x:c>
      <x:c r="G7" s="60" t="n">
        <x:f>Assumptions!$B$21*3/12</x:f>
        <x:v>0.75</x:v>
      </x:c>
      <x:c r="H7" s="61" t="n">
        <x:f>G7*Assumptions!$B$22</x:f>
        <x:v>449.25</x:v>
      </x:c>
      <x:c r="I7" s="62" t="n">
        <x:f>Assumptions!$B$23*3/12</x:f>
        <x:v>0.25</x:v>
      </x:c>
      <x:c r="J7" s="61" t="n">
        <x:f>I7*Assumptions!$B$24</x:f>
        <x:v>250</x:v>
      </x:c>
      <x:c r="K7" s="53" t="n">
        <x:f>Assumptions!$B$25</x:f>
        <x:v>0</x:v>
      </x:c>
      <x:c r="L7" s="61" t="n">
        <x:f>SUM(D7,F7,H7,J7)*K7</x:f>
        <x:v>0</x:v>
      </x:c>
      <x:c r="M7" s="62" t="n">
        <x:f>MAX(0,C7+E7+G7-C6-E6-G6)</x:f>
        <x:v>2.9166666666666674</x:v>
      </x:c>
      <x:c r="N7" s="61" t="n">
        <x:f>Assumptions!$B$26</x:f>
        <x:v>600</x:v>
      </x:c>
      <x:c r="O7" s="62" t="n">
        <x:f>MAX(0,I7-I6)</x:f>
        <x:v>0.08333333333333334</x:v>
      </x:c>
      <x:c r="P7" s="61" t="n">
        <x:f>Assumptions!$B$27</x:f>
        <x:v>3000</x:v>
      </x:c>
      <x:c r="Q7" s="61" t="n">
        <x:f>M7*N7+O7*P7</x:f>
        <x:v>2000.0000000000005</x:v>
      </x:c>
      <x:c r="R7" s="61" t="n">
        <x:f>SUM(D7,F7,H7,J7,L7,Q7)</x:f>
        <x:v>4091.2500000000005</x:v>
      </x:c>
    </x:row>
    <x:row r="8">
      <x:c r="A8" s="59" t="n">
        <x:v>46357</x:v>
      </x:c>
      <x:c r="B8" s="43" t="n">
        <x:v>1</x:v>
      </x:c>
      <x:c r="C8" s="60" t="n">
        <x:f>Assumptions!$B$17*4/12</x:f>
        <x:v>5.333333333333333</x:v>
      </x:c>
      <x:c r="D8" s="61" t="n">
        <x:f>C8*Assumptions!$B$18</x:f>
        <x:v>528</x:v>
      </x:c>
      <x:c r="E8" s="60" t="n">
        <x:f>Assumptions!$B$19*4/12</x:f>
        <x:v>5.333333333333333</x:v>
      </x:c>
      <x:c r="F8" s="61" t="n">
        <x:f>E8*Assumptions!$B$20</x:f>
        <x:v>1328</x:v>
      </x:c>
      <x:c r="G8" s="60" t="n">
        <x:f>Assumptions!$B$21*4/12</x:f>
        <x:v>1</x:v>
      </x:c>
      <x:c r="H8" s="61" t="n">
        <x:f>G8*Assumptions!$B$22</x:f>
        <x:v>599</x:v>
      </x:c>
      <x:c r="I8" s="62" t="n">
        <x:f>Assumptions!$B$23*4/12</x:f>
        <x:v>0.3333333333333333</x:v>
      </x:c>
      <x:c r="J8" s="61" t="n">
        <x:f>I8*Assumptions!$B$24</x:f>
        <x:v>333.3333333333333</x:v>
      </x:c>
      <x:c r="K8" s="53" t="n">
        <x:f>Assumptions!$B$25</x:f>
        <x:v>0</x:v>
      </x:c>
      <x:c r="L8" s="61" t="n">
        <x:f>SUM(D8,F8,H8,J8)*K8</x:f>
        <x:v>0</x:v>
      </x:c>
      <x:c r="M8" s="62" t="n">
        <x:f>MAX(0,C8+E8+G8-C7-E7-G7)</x:f>
        <x:v>2.916666666666666</x:v>
      </x:c>
      <x:c r="N8" s="61" t="n">
        <x:f>Assumptions!$B$26</x:f>
        <x:v>600</x:v>
      </x:c>
      <x:c r="O8" s="62" t="n">
        <x:f>MAX(0,I8-I7)</x:f>
        <x:v>0.08333333333333331</x:v>
      </x:c>
      <x:c r="P8" s="61" t="n">
        <x:f>Assumptions!$B$27</x:f>
        <x:v>3000</x:v>
      </x:c>
      <x:c r="Q8" s="61" t="n">
        <x:f>M8*N8+O8*P8</x:f>
        <x:v>1999.9999999999995</x:v>
      </x:c>
      <x:c r="R8" s="61" t="n">
        <x:f>SUM(D8,F8,H8,J8,L8,Q8)</x:f>
        <x:v>4788.333333333333</x:v>
      </x:c>
    </x:row>
    <x:row r="9">
      <x:c r="A9" s="59" t="n">
        <x:v>46388</x:v>
      </x:c>
      <x:c r="B9" s="43" t="n">
        <x:v>1</x:v>
      </x:c>
      <x:c r="C9" s="60" t="n">
        <x:f>Assumptions!$B$17*5/12</x:f>
        <x:v>6.666666666666667</x:v>
      </x:c>
      <x:c r="D9" s="61" t="n">
        <x:f>C9*Assumptions!$B$18</x:f>
        <x:v>660</x:v>
      </x:c>
      <x:c r="E9" s="60" t="n">
        <x:f>Assumptions!$B$19*5/12</x:f>
        <x:v>6.666666666666667</x:v>
      </x:c>
      <x:c r="F9" s="61" t="n">
        <x:f>E9*Assumptions!$B$20</x:f>
        <x:v>1660</x:v>
      </x:c>
      <x:c r="G9" s="60" t="n">
        <x:f>Assumptions!$B$21*5/12</x:f>
        <x:v>1.25</x:v>
      </x:c>
      <x:c r="H9" s="61" t="n">
        <x:f>G9*Assumptions!$B$22</x:f>
        <x:v>748.75</x:v>
      </x:c>
      <x:c r="I9" s="62" t="n">
        <x:f>Assumptions!$B$23*5/12</x:f>
        <x:v>0.4166666666666667</x:v>
      </x:c>
      <x:c r="J9" s="61" t="n">
        <x:f>I9*Assumptions!$B$24</x:f>
        <x:v>416.6666666666667</x:v>
      </x:c>
      <x:c r="K9" s="53" t="n">
        <x:f>Assumptions!$B$25</x:f>
        <x:v>0</x:v>
      </x:c>
      <x:c r="L9" s="61" t="n">
        <x:f>SUM(D9,F9,H9,J9)*K9</x:f>
        <x:v>0</x:v>
      </x:c>
      <x:c r="M9" s="62" t="n">
        <x:f>MAX(0,C9+E9+G9-C8-E8-G8)</x:f>
        <x:v>2.916666666666667</x:v>
      </x:c>
      <x:c r="N9" s="61" t="n">
        <x:f>Assumptions!$B$26</x:f>
        <x:v>600</x:v>
      </x:c>
      <x:c r="O9" s="62" t="n">
        <x:f>MAX(0,I9-I8)</x:f>
        <x:v>0.08333333333333337</x:v>
      </x:c>
      <x:c r="P9" s="61" t="n">
        <x:f>Assumptions!$B$27</x:f>
        <x:v>3000</x:v>
      </x:c>
      <x:c r="Q9" s="61" t="n">
        <x:f>M9*N9+O9*P9</x:f>
        <x:v>2000.0000000000005</x:v>
      </x:c>
      <x:c r="R9" s="61" t="n">
        <x:f>SUM(D9,F9,H9,J9,L9,Q9)</x:f>
        <x:v>5485.416666666667</x:v>
      </x:c>
    </x:row>
    <x:row r="10">
      <x:c r="A10" s="59" t="n">
        <x:v>46419</x:v>
      </x:c>
      <x:c r="B10" s="43" t="n">
        <x:v>1</x:v>
      </x:c>
      <x:c r="C10" s="60" t="n">
        <x:f>Assumptions!$B$17*6/12</x:f>
        <x:v>8</x:v>
      </x:c>
      <x:c r="D10" s="61" t="n">
        <x:f>C10*Assumptions!$B$18</x:f>
        <x:v>792</x:v>
      </x:c>
      <x:c r="E10" s="60" t="n">
        <x:f>Assumptions!$B$19*6/12</x:f>
        <x:v>8</x:v>
      </x:c>
      <x:c r="F10" s="61" t="n">
        <x:f>E10*Assumptions!$B$20</x:f>
        <x:v>1992</x:v>
      </x:c>
      <x:c r="G10" s="60" t="n">
        <x:f>Assumptions!$B$21*6/12</x:f>
        <x:v>1.5</x:v>
      </x:c>
      <x:c r="H10" s="61" t="n">
        <x:f>G10*Assumptions!$B$22</x:f>
        <x:v>898.5</x:v>
      </x:c>
      <x:c r="I10" s="62" t="n">
        <x:f>Assumptions!$B$23*6/12</x:f>
        <x:v>0.5</x:v>
      </x:c>
      <x:c r="J10" s="61" t="n">
        <x:f>I10*Assumptions!$B$24</x:f>
        <x:v>500</x:v>
      </x:c>
      <x:c r="K10" s="53" t="n">
        <x:f>Assumptions!$B$25</x:f>
        <x:v>0</x:v>
      </x:c>
      <x:c r="L10" s="61" t="n">
        <x:f>SUM(D10,F10,H10,J10)*K10</x:f>
        <x:v>0</x:v>
      </x:c>
      <x:c r="M10" s="62" t="n">
        <x:f>MAX(0,C10+E10+G10-C9-E9-G9)</x:f>
        <x:v>2.916666666666665</x:v>
      </x:c>
      <x:c r="N10" s="61" t="n">
        <x:f>Assumptions!$B$26</x:f>
        <x:v>600</x:v>
      </x:c>
      <x:c r="O10" s="62" t="n">
        <x:f>MAX(0,I10-I9)</x:f>
        <x:v>0.08333333333333331</x:v>
      </x:c>
      <x:c r="P10" s="61" t="n">
        <x:f>Assumptions!$B$27</x:f>
        <x:v>3000</x:v>
      </x:c>
      <x:c r="Q10" s="61" t="n">
        <x:f>M10*N10+O10*P10</x:f>
        <x:v>1999.999999999999</x:v>
      </x:c>
      <x:c r="R10" s="61" t="n">
        <x:f>SUM(D10,F10,H10,J10,L10,Q10)</x:f>
        <x:v>6182.499999999999</x:v>
      </x:c>
    </x:row>
    <x:row r="11">
      <x:c r="A11" s="59" t="n">
        <x:v>46447</x:v>
      </x:c>
      <x:c r="B11" s="43" t="n">
        <x:v>1</x:v>
      </x:c>
      <x:c r="C11" s="60" t="n">
        <x:f>Assumptions!$B$17*7/12</x:f>
        <x:v>9.333333333333334</x:v>
      </x:c>
      <x:c r="D11" s="61" t="n">
        <x:f>C11*Assumptions!$B$18</x:f>
        <x:v>924.0000000000001</x:v>
      </x:c>
      <x:c r="E11" s="60" t="n">
        <x:f>Assumptions!$B$19*7/12</x:f>
        <x:v>9.333333333333334</x:v>
      </x:c>
      <x:c r="F11" s="61" t="n">
        <x:f>E11*Assumptions!$B$20</x:f>
        <x:v>2324</x:v>
      </x:c>
      <x:c r="G11" s="60" t="n">
        <x:f>Assumptions!$B$21*7/12</x:f>
        <x:v>1.75</x:v>
      </x:c>
      <x:c r="H11" s="61" t="n">
        <x:f>G11*Assumptions!$B$22</x:f>
        <x:v>1048.25</x:v>
      </x:c>
      <x:c r="I11" s="62" t="n">
        <x:f>Assumptions!$B$23*7/12</x:f>
        <x:v>0.5833333333333334</x:v>
      </x:c>
      <x:c r="J11" s="61" t="n">
        <x:f>I11*Assumptions!$B$24</x:f>
        <x:v>583.3333333333334</x:v>
      </x:c>
      <x:c r="K11" s="53" t="n">
        <x:f>Assumptions!$B$25</x:f>
        <x:v>0</x:v>
      </x:c>
      <x:c r="L11" s="61" t="n">
        <x:f>SUM(D11,F11,H11,J11)*K11</x:f>
        <x:v>0</x:v>
      </x:c>
      <x:c r="M11" s="62" t="n">
        <x:f>MAX(0,C11+E11+G11-C10-E10-G10)</x:f>
        <x:v>2.916666666666668</x:v>
      </x:c>
      <x:c r="N11" s="61" t="n">
        <x:f>Assumptions!$B$26</x:f>
        <x:v>600</x:v>
      </x:c>
      <x:c r="O11" s="62" t="n">
        <x:f>MAX(0,I11-I10)</x:f>
        <x:v>0.08333333333333337</x:v>
      </x:c>
      <x:c r="P11" s="61" t="n">
        <x:f>Assumptions!$B$27</x:f>
        <x:v>3000</x:v>
      </x:c>
      <x:c r="Q11" s="61" t="n">
        <x:f>M11*N11+O11*P11</x:f>
        <x:v>2000.000000000001</x:v>
      </x:c>
      <x:c r="R11" s="61" t="n">
        <x:f>SUM(D11,F11,H11,J11,L11,Q11)</x:f>
        <x:v>6879.583333333334</x:v>
      </x:c>
    </x:row>
    <x:row r="12">
      <x:c r="A12" s="59" t="n">
        <x:v>46478</x:v>
      </x:c>
      <x:c r="B12" s="43" t="n">
        <x:v>1</x:v>
      </x:c>
      <x:c r="C12" s="60" t="n">
        <x:f>Assumptions!$B$17*8/12</x:f>
        <x:v>10.666666666666666</x:v>
      </x:c>
      <x:c r="D12" s="61" t="n">
        <x:f>C12*Assumptions!$B$18</x:f>
        <x:v>1056</x:v>
      </x:c>
      <x:c r="E12" s="60" t="n">
        <x:f>Assumptions!$B$19*8/12</x:f>
        <x:v>10.666666666666666</x:v>
      </x:c>
      <x:c r="F12" s="61" t="n">
        <x:f>E12*Assumptions!$B$20</x:f>
        <x:v>2656</x:v>
      </x:c>
      <x:c r="G12" s="60" t="n">
        <x:f>Assumptions!$B$21*8/12</x:f>
        <x:v>2</x:v>
      </x:c>
      <x:c r="H12" s="61" t="n">
        <x:f>G12*Assumptions!$B$22</x:f>
        <x:v>1198</x:v>
      </x:c>
      <x:c r="I12" s="62" t="n">
        <x:f>Assumptions!$B$23*8/12</x:f>
        <x:v>0.6666666666666666</x:v>
      </x:c>
      <x:c r="J12" s="61" t="n">
        <x:f>I12*Assumptions!$B$24</x:f>
        <x:v>666.6666666666666</x:v>
      </x:c>
      <x:c r="K12" s="53" t="n">
        <x:f>Assumptions!$B$25</x:f>
        <x:v>0</x:v>
      </x:c>
      <x:c r="L12" s="61" t="n">
        <x:f>SUM(D12,F12,H12,J12)*K12</x:f>
        <x:v>0</x:v>
      </x:c>
      <x:c r="M12" s="62" t="n">
        <x:f>MAX(0,C12+E12+G12-C11-E11-G11)</x:f>
        <x:v>2.9166666666666643</x:v>
      </x:c>
      <x:c r="N12" s="61" t="n">
        <x:f>Assumptions!$B$26</x:f>
        <x:v>600</x:v>
      </x:c>
      <x:c r="O12" s="62" t="n">
        <x:f>MAX(0,I12-I11)</x:f>
        <x:v>0.08333333333333326</x:v>
      </x:c>
      <x:c r="P12" s="61" t="n">
        <x:f>Assumptions!$B$27</x:f>
        <x:v>3000</x:v>
      </x:c>
      <x:c r="Q12" s="61" t="n">
        <x:f>M12*N12+O12*P12</x:f>
        <x:v>1999.9999999999984</x:v>
      </x:c>
      <x:c r="R12" s="61" t="n">
        <x:f>SUM(D12,F12,H12,J12,L12,Q12)</x:f>
        <x:v>7576.666666666665</x:v>
      </x:c>
    </x:row>
    <x:row r="13">
      <x:c r="A13" s="59" t="n">
        <x:v>46508</x:v>
      </x:c>
      <x:c r="B13" s="43" t="n">
        <x:v>1</x:v>
      </x:c>
      <x:c r="C13" s="60" t="n">
        <x:f>Assumptions!$B$17*9/12</x:f>
        <x:v>12</x:v>
      </x:c>
      <x:c r="D13" s="61" t="n">
        <x:f>C13*Assumptions!$B$18</x:f>
        <x:v>1188</x:v>
      </x:c>
      <x:c r="E13" s="60" t="n">
        <x:f>Assumptions!$B$19*9/12</x:f>
        <x:v>12</x:v>
      </x:c>
      <x:c r="F13" s="61" t="n">
        <x:f>E13*Assumptions!$B$20</x:f>
        <x:v>2988</x:v>
      </x:c>
      <x:c r="G13" s="60" t="n">
        <x:f>Assumptions!$B$21*9/12</x:f>
        <x:v>2.25</x:v>
      </x:c>
      <x:c r="H13" s="61" t="n">
        <x:f>G13*Assumptions!$B$22</x:f>
        <x:v>1347.75</x:v>
      </x:c>
      <x:c r="I13" s="62" t="n">
        <x:f>Assumptions!$B$23*9/12</x:f>
        <x:v>0.75</x:v>
      </x:c>
      <x:c r="J13" s="61" t="n">
        <x:f>I13*Assumptions!$B$24</x:f>
        <x:v>750</x:v>
      </x:c>
      <x:c r="K13" s="53" t="n">
        <x:f>Assumptions!$B$25</x:f>
        <x:v>0</x:v>
      </x:c>
      <x:c r="L13" s="61" t="n">
        <x:f>SUM(D13,F13,H13,J13)*K13</x:f>
        <x:v>0</x:v>
      </x:c>
      <x:c r="M13" s="62" t="n">
        <x:f>MAX(0,C13+E13+G13-C12-E12-G12)</x:f>
        <x:v>2.916666666666668</x:v>
      </x:c>
      <x:c r="N13" s="61" t="n">
        <x:f>Assumptions!$B$26</x:f>
        <x:v>600</x:v>
      </x:c>
      <x:c r="O13" s="62" t="n">
        <x:f>MAX(0,I13-I12)</x:f>
        <x:v>0.08333333333333337</x:v>
      </x:c>
      <x:c r="P13" s="61" t="n">
        <x:f>Assumptions!$B$27</x:f>
        <x:v>3000</x:v>
      </x:c>
      <x:c r="Q13" s="61" t="n">
        <x:f>M13*N13+O13*P13</x:f>
        <x:v>2000.000000000001</x:v>
      </x:c>
      <x:c r="R13" s="61" t="n">
        <x:f>SUM(D13,F13,H13,J13,L13,Q13)</x:f>
        <x:v>8273.75</x:v>
      </x:c>
    </x:row>
    <x:row r="14">
      <x:c r="A14" s="59" t="n">
        <x:v>46539</x:v>
      </x:c>
      <x:c r="B14" s="43" t="n">
        <x:v>1</x:v>
      </x:c>
      <x:c r="C14" s="60" t="n">
        <x:f>Assumptions!$B$17*10/12</x:f>
        <x:v>13.333333333333334</x:v>
      </x:c>
      <x:c r="D14" s="61" t="n">
        <x:f>C14*Assumptions!$B$18</x:f>
        <x:v>1320</x:v>
      </x:c>
      <x:c r="E14" s="60" t="n">
        <x:f>Assumptions!$B$19*10/12</x:f>
        <x:v>13.333333333333334</x:v>
      </x:c>
      <x:c r="F14" s="61" t="n">
        <x:f>E14*Assumptions!$B$20</x:f>
        <x:v>3320</x:v>
      </x:c>
      <x:c r="G14" s="60" t="n">
        <x:f>Assumptions!$B$21*10/12</x:f>
        <x:v>2.5</x:v>
      </x:c>
      <x:c r="H14" s="61" t="n">
        <x:f>G14*Assumptions!$B$22</x:f>
        <x:v>1497.5</x:v>
      </x:c>
      <x:c r="I14" s="62" t="n">
        <x:f>Assumptions!$B$23*10/12</x:f>
        <x:v>0.8333333333333334</x:v>
      </x:c>
      <x:c r="J14" s="61" t="n">
        <x:f>I14*Assumptions!$B$24</x:f>
        <x:v>833.3333333333334</x:v>
      </x:c>
      <x:c r="K14" s="53" t="n">
        <x:f>Assumptions!$B$25</x:f>
        <x:v>0</x:v>
      </x:c>
      <x:c r="L14" s="61" t="n">
        <x:f>SUM(D14,F14,H14,J14)*K14</x:f>
        <x:v>0</x:v>
      </x:c>
      <x:c r="M14" s="62" t="n">
        <x:f>MAX(0,C14+E14+G14-C13-E13-G13)</x:f>
        <x:v>2.916666666666668</x:v>
      </x:c>
      <x:c r="N14" s="61" t="n">
        <x:f>Assumptions!$B$26</x:f>
        <x:v>600</x:v>
      </x:c>
      <x:c r="O14" s="62" t="n">
        <x:f>MAX(0,I14-I13)</x:f>
        <x:v>0.08333333333333337</x:v>
      </x:c>
      <x:c r="P14" s="61" t="n">
        <x:f>Assumptions!$B$27</x:f>
        <x:v>3000</x:v>
      </x:c>
      <x:c r="Q14" s="61" t="n">
        <x:f>M14*N14+O14*P14</x:f>
        <x:v>2000.000000000001</x:v>
      </x:c>
      <x:c r="R14" s="61" t="n">
        <x:f>SUM(D14,F14,H14,J14,L14,Q14)</x:f>
        <x:v>8970.833333333334</x:v>
      </x:c>
    </x:row>
    <x:row r="15">
      <x:c r="A15" s="59" t="n">
        <x:v>46569</x:v>
      </x:c>
      <x:c r="B15" s="43" t="n">
        <x:v>1</x:v>
      </x:c>
      <x:c r="C15" s="60" t="n">
        <x:f>Assumptions!$B$17*11/12</x:f>
        <x:v>14.666666666666666</x:v>
      </x:c>
      <x:c r="D15" s="61" t="n">
        <x:f>C15*Assumptions!$B$18</x:f>
        <x:v>1452</x:v>
      </x:c>
      <x:c r="E15" s="60" t="n">
        <x:f>Assumptions!$B$19*11/12</x:f>
        <x:v>14.666666666666666</x:v>
      </x:c>
      <x:c r="F15" s="61" t="n">
        <x:f>E15*Assumptions!$B$20</x:f>
        <x:v>3652</x:v>
      </x:c>
      <x:c r="G15" s="60" t="n">
        <x:f>Assumptions!$B$21*11/12</x:f>
        <x:v>2.75</x:v>
      </x:c>
      <x:c r="H15" s="61" t="n">
        <x:f>G15*Assumptions!$B$22</x:f>
        <x:v>1647.25</x:v>
      </x:c>
      <x:c r="I15" s="62" t="n">
        <x:f>Assumptions!$B$23*11/12</x:f>
        <x:v>0.9166666666666666</x:v>
      </x:c>
      <x:c r="J15" s="61" t="n">
        <x:f>I15*Assumptions!$B$24</x:f>
        <x:v>916.6666666666666</x:v>
      </x:c>
      <x:c r="K15" s="53" t="n">
        <x:f>Assumptions!$B$25</x:f>
        <x:v>0</x:v>
      </x:c>
      <x:c r="L15" s="61" t="n">
        <x:f>SUM(D15,F15,H15,J15)*K15</x:f>
        <x:v>0</x:v>
      </x:c>
      <x:c r="M15" s="62" t="n">
        <x:f>MAX(0,C15+E15+G15-C14-E14-G14)</x:f>
        <x:v>2.916666666666659</x:v>
      </x:c>
      <x:c r="N15" s="61" t="n">
        <x:f>Assumptions!$B$26</x:f>
        <x:v>600</x:v>
      </x:c>
      <x:c r="O15" s="62" t="n">
        <x:f>MAX(0,I15-I14)</x:f>
        <x:v>0.08333333333333326</x:v>
      </x:c>
      <x:c r="P15" s="61" t="n">
        <x:f>Assumptions!$B$27</x:f>
        <x:v>3000</x:v>
      </x:c>
      <x:c r="Q15" s="61" t="n">
        <x:f>M15*N15+O15*P15</x:f>
        <x:v>1999.9999999999952</x:v>
      </x:c>
      <x:c r="R15" s="61" t="n">
        <x:f>SUM(D15,F15,H15,J15,L15,Q15)</x:f>
        <x:v>9667.916666666662</x:v>
      </x:c>
    </x:row>
    <x:row r="16">
      <x:c r="A16" s="59" t="n">
        <x:v>46600</x:v>
      </x:c>
      <x:c r="B16" s="43" t="n">
        <x:v>1</x:v>
      </x:c>
      <x:c r="C16" s="60" t="n">
        <x:f>Assumptions!$B$17*12/12</x:f>
        <x:v>16</x:v>
      </x:c>
      <x:c r="D16" s="61" t="n">
        <x:f>C16*Assumptions!$B$18</x:f>
        <x:v>1584</x:v>
      </x:c>
      <x:c r="E16" s="60" t="n">
        <x:f>Assumptions!$B$19*12/12</x:f>
        <x:v>16</x:v>
      </x:c>
      <x:c r="F16" s="61" t="n">
        <x:f>E16*Assumptions!$B$20</x:f>
        <x:v>3984</x:v>
      </x:c>
      <x:c r="G16" s="60" t="n">
        <x:f>Assumptions!$B$21*12/12</x:f>
        <x:v>3</x:v>
      </x:c>
      <x:c r="H16" s="61" t="n">
        <x:f>G16*Assumptions!$B$22</x:f>
        <x:v>1797</x:v>
      </x:c>
      <x:c r="I16" s="62" t="n">
        <x:f>Assumptions!$B$23*12/12</x:f>
        <x:v>1</x:v>
      </x:c>
      <x:c r="J16" s="61" t="n">
        <x:f>I16*Assumptions!$B$24</x:f>
        <x:v>1000</x:v>
      </x:c>
      <x:c r="K16" s="53" t="n">
        <x:f>Assumptions!$B$25</x:f>
        <x:v>0</x:v>
      </x:c>
      <x:c r="L16" s="61" t="n">
        <x:f>SUM(D16,F16,H16,J16)*K16</x:f>
        <x:v>0</x:v>
      </x:c>
      <x:c r="M16" s="62" t="n">
        <x:f>MAX(0,C16+E16+G16-C15-E15-G15)</x:f>
        <x:v>2.9166666666666696</x:v>
      </x:c>
      <x:c r="N16" s="61" t="n">
        <x:f>Assumptions!$B$26</x:f>
        <x:v>600</x:v>
      </x:c>
      <x:c r="O16" s="62" t="n">
        <x:f>MAX(0,I16-I15)</x:f>
        <x:v>0.08333333333333337</x:v>
      </x:c>
      <x:c r="P16" s="61" t="n">
        <x:f>Assumptions!$B$27</x:f>
        <x:v>3000</x:v>
      </x:c>
      <x:c r="Q16" s="61" t="n">
        <x:f>M16*N16+O16*P16</x:f>
        <x:v>2000.0000000000018</x:v>
      </x:c>
      <x:c r="R16" s="61" t="n">
        <x:f>SUM(D16,F16,H16,J16,L16,Q16)</x:f>
        <x:v>10365.000000000002</x:v>
      </x:c>
    </x:row>
    <x:row r="17">
      <x:c r="A17" s="59" t="n">
        <x:v>46631</x:v>
      </x:c>
      <x:c r="B17" s="43" t="n">
        <x:v>2</x:v>
      </x:c>
      <x:c r="C17" s="60" t="n">
        <x:f>Assumptions!$B$17+(Assumptions!$C$17-Assumptions!$B$17)*1/12</x:f>
        <x:v>18.416666666666668</x:v>
      </x:c>
      <x:c r="D17" s="61" t="n">
        <x:f>C17*Assumptions!$C$18</x:f>
        <x:v>1823.2500000000002</x:v>
      </x:c>
      <x:c r="E17" s="60" t="n">
        <x:f>Assumptions!$B$19+(Assumptions!$C$19-Assumptions!$B$19)*1/12</x:f>
        <x:v>19.25</x:v>
      </x:c>
      <x:c r="F17" s="61" t="n">
        <x:f>E17*Assumptions!$C$20</x:f>
        <x:v>4793.25</x:v>
      </x:c>
      <x:c r="G17" s="60" t="n">
        <x:f>Assumptions!$B$21+(Assumptions!$C$21-Assumptions!$B$21)*1/12</x:f>
        <x:v>4.166666666666667</x:v>
      </x:c>
      <x:c r="H17" s="61" t="n">
        <x:f>G17*Assumptions!$C$22</x:f>
        <x:v>2495.8333333333335</x:v>
      </x:c>
      <x:c r="I17" s="62" t="n">
        <x:f>Assumptions!$B$23+(Assumptions!$C$23-Assumptions!$B$23)*1/12</x:f>
        <x:v>1.1666666666666667</x:v>
      </x:c>
      <x:c r="J17" s="61" t="n">
        <x:f>I17*Assumptions!$C$24</x:f>
        <x:v>1166.6666666666667</x:v>
      </x:c>
      <x:c r="K17" s="53" t="n">
        <x:f>Assumptions!$C$25</x:f>
        <x:v>0.05</x:v>
      </x:c>
      <x:c r="L17" s="61" t="n">
        <x:f>SUM(D17,F17,H17,J17)*K17</x:f>
        <x:v>513.95</x:v>
      </x:c>
      <x:c r="M17" s="62" t="n">
        <x:f>MAX(0,C17+E17+G17-C16-E16-G16)</x:f>
        <x:v>6.833333333333336</x:v>
      </x:c>
      <x:c r="N17" s="61" t="n">
        <x:f>Assumptions!$C$26</x:f>
        <x:v>500</x:v>
      </x:c>
      <x:c r="O17" s="62" t="n">
        <x:f>MAX(0,I17-I16)</x:f>
        <x:v>0.16666666666666674</x:v>
      </x:c>
      <x:c r="P17" s="61" t="n">
        <x:f>Assumptions!$C$27</x:f>
        <x:v>4000</x:v>
      </x:c>
      <x:c r="Q17" s="61" t="n">
        <x:f>M17*N17+O17*P17</x:f>
        <x:v>4083.333333333335</x:v>
      </x:c>
      <x:c r="R17" s="61" t="n">
        <x:f>SUM(D17,F17,H17,J17,L17,Q17)</x:f>
        <x:v>14876.283333333336</x:v>
      </x:c>
    </x:row>
    <x:row r="18">
      <x:c r="A18" s="59" t="n">
        <x:v>46661</x:v>
      </x:c>
      <x:c r="B18" s="43" t="n">
        <x:v>2</x:v>
      </x:c>
      <x:c r="C18" s="60" t="n">
        <x:f>Assumptions!$B$17+(Assumptions!$C$17-Assumptions!$B$17)*2/12</x:f>
        <x:v>20.833333333333332</x:v>
      </x:c>
      <x:c r="D18" s="61" t="n">
        <x:f>C18*Assumptions!$C$18</x:f>
        <x:v>2062.5</x:v>
      </x:c>
      <x:c r="E18" s="60" t="n">
        <x:f>Assumptions!$B$19+(Assumptions!$C$19-Assumptions!$B$19)*2/12</x:f>
        <x:v>22.5</x:v>
      </x:c>
      <x:c r="F18" s="61" t="n">
        <x:f>E18*Assumptions!$C$20</x:f>
        <x:v>5602.5</x:v>
      </x:c>
      <x:c r="G18" s="60" t="n">
        <x:f>Assumptions!$B$21+(Assumptions!$C$21-Assumptions!$B$21)*2/12</x:f>
        <x:v>5.333333333333334</x:v>
      </x:c>
      <x:c r="H18" s="61" t="n">
        <x:f>G18*Assumptions!$C$22</x:f>
        <x:v>3194.666666666667</x:v>
      </x:c>
      <x:c r="I18" s="62" t="n">
        <x:f>Assumptions!$B$23+(Assumptions!$C$23-Assumptions!$B$23)*2/12</x:f>
        <x:v>1.3333333333333333</x:v>
      </x:c>
      <x:c r="J18" s="61" t="n">
        <x:f>I18*Assumptions!$C$24</x:f>
        <x:v>1333.3333333333333</x:v>
      </x:c>
      <x:c r="K18" s="53" t="n">
        <x:f>Assumptions!$C$25</x:f>
        <x:v>0.05</x:v>
      </x:c>
      <x:c r="L18" s="61" t="n">
        <x:f>SUM(D18,F18,H18,J18)*K18</x:f>
        <x:v>609.6500000000001</x:v>
      </x:c>
      <x:c r="M18" s="62" t="n">
        <x:f>MAX(0,C18+E18+G18-C17-E17-G17)</x:f>
        <x:v>6.8333333333333295</x:v>
      </x:c>
      <x:c r="N18" s="61" t="n">
        <x:f>Assumptions!$C$26</x:f>
        <x:v>500</x:v>
      </x:c>
      <x:c r="O18" s="62" t="n">
        <x:f>MAX(0,I18-I17)</x:f>
        <x:v>0.16666666666666652</x:v>
      </x:c>
      <x:c r="P18" s="61" t="n">
        <x:f>Assumptions!$C$27</x:f>
        <x:v>4000</x:v>
      </x:c>
      <x:c r="Q18" s="61" t="n">
        <x:f>M18*N18+O18*P18</x:f>
        <x:v>4083.3333333333308</x:v>
      </x:c>
      <x:c r="R18" s="61" t="n">
        <x:f>SUM(D18,F18,H18,J18,L18,Q18)</x:f>
        <x:v>16885.983333333334</x:v>
      </x:c>
    </x:row>
    <x:row r="19">
      <x:c r="A19" s="59" t="n">
        <x:v>46692</x:v>
      </x:c>
      <x:c r="B19" s="43" t="n">
        <x:v>2</x:v>
      </x:c>
      <x:c r="C19" s="60" t="n">
        <x:f>Assumptions!$B$17+(Assumptions!$C$17-Assumptions!$B$17)*3/12</x:f>
        <x:v>23.25</x:v>
      </x:c>
      <x:c r="D19" s="61" t="n">
        <x:f>C19*Assumptions!$C$18</x:f>
        <x:v>2301.75</x:v>
      </x:c>
      <x:c r="E19" s="60" t="n">
        <x:f>Assumptions!$B$19+(Assumptions!$C$19-Assumptions!$B$19)*3/12</x:f>
        <x:v>25.75</x:v>
      </x:c>
      <x:c r="F19" s="61" t="n">
        <x:f>E19*Assumptions!$C$20</x:f>
        <x:v>6411.75</x:v>
      </x:c>
      <x:c r="G19" s="60" t="n">
        <x:f>Assumptions!$B$21+(Assumptions!$C$21-Assumptions!$B$21)*3/12</x:f>
        <x:v>6.5</x:v>
      </x:c>
      <x:c r="H19" s="61" t="n">
        <x:f>G19*Assumptions!$C$22</x:f>
        <x:v>3893.5</x:v>
      </x:c>
      <x:c r="I19" s="62" t="n">
        <x:f>Assumptions!$B$23+(Assumptions!$C$23-Assumptions!$B$23)*3/12</x:f>
        <x:v>1.5</x:v>
      </x:c>
      <x:c r="J19" s="61" t="n">
        <x:f>I19*Assumptions!$C$24</x:f>
        <x:v>1500</x:v>
      </x:c>
      <x:c r="K19" s="53" t="n">
        <x:f>Assumptions!$C$25</x:f>
        <x:v>0.05</x:v>
      </x:c>
      <x:c r="L19" s="61" t="n">
        <x:f>SUM(D19,F19,H19,J19)*K19</x:f>
        <x:v>705.35</x:v>
      </x:c>
      <x:c r="M19" s="62" t="n">
        <x:f>MAX(0,C19+E19+G19-C18-E18-G18)</x:f>
        <x:v>6.8333333333333375</x:v>
      </x:c>
      <x:c r="N19" s="61" t="n">
        <x:f>Assumptions!$C$26</x:f>
        <x:v>500</x:v>
      </x:c>
      <x:c r="O19" s="62" t="n">
        <x:f>MAX(0,I19-I18)</x:f>
        <x:v>0.16666666666666674</x:v>
      </x:c>
      <x:c r="P19" s="61" t="n">
        <x:f>Assumptions!$C$27</x:f>
        <x:v>4000</x:v>
      </x:c>
      <x:c r="Q19" s="61" t="n">
        <x:f>M19*N19+O19*P19</x:f>
        <x:v>4083.3333333333358</x:v>
      </x:c>
      <x:c r="R19" s="61" t="n">
        <x:f>SUM(D19,F19,H19,J19,L19,Q19)</x:f>
        <x:v>18895.683333333334</x:v>
      </x:c>
    </x:row>
    <x:row r="20">
      <x:c r="A20" s="59" t="n">
        <x:v>46722</x:v>
      </x:c>
      <x:c r="B20" s="43" t="n">
        <x:v>2</x:v>
      </x:c>
      <x:c r="C20" s="60" t="n">
        <x:f>Assumptions!$B$17+(Assumptions!$C$17-Assumptions!$B$17)*4/12</x:f>
        <x:v>25.666666666666664</x:v>
      </x:c>
      <x:c r="D20" s="61" t="n">
        <x:f>C20*Assumptions!$C$18</x:f>
        <x:v>2540.9999999999995</x:v>
      </x:c>
      <x:c r="E20" s="60" t="n">
        <x:f>Assumptions!$B$19+(Assumptions!$C$19-Assumptions!$B$19)*4/12</x:f>
        <x:v>29</x:v>
      </x:c>
      <x:c r="F20" s="61" t="n">
        <x:f>E20*Assumptions!$C$20</x:f>
        <x:v>7221</x:v>
      </x:c>
      <x:c r="G20" s="60" t="n">
        <x:f>Assumptions!$B$21+(Assumptions!$C$21-Assumptions!$B$21)*4/12</x:f>
        <x:v>7.666666666666667</x:v>
      </x:c>
      <x:c r="H20" s="61" t="n">
        <x:f>G20*Assumptions!$C$22</x:f>
        <x:v>4592.333333333334</x:v>
      </x:c>
      <x:c r="I20" s="62" t="n">
        <x:f>Assumptions!$B$23+(Assumptions!$C$23-Assumptions!$B$23)*4/12</x:f>
        <x:v>1.6666666666666665</x:v>
      </x:c>
      <x:c r="J20" s="61" t="n">
        <x:f>I20*Assumptions!$C$24</x:f>
        <x:v>1666.6666666666665</x:v>
      </x:c>
      <x:c r="K20" s="53" t="n">
        <x:f>Assumptions!$C$25</x:f>
        <x:v>0.05</x:v>
      </x:c>
      <x:c r="L20" s="61" t="n">
        <x:f>SUM(D20,F20,H20,J20)*K20</x:f>
        <x:v>801.0500000000001</x:v>
      </x:c>
      <x:c r="M20" s="62" t="n">
        <x:f>MAX(0,C20+E20+G20-C19-E19-G19)</x:f>
        <x:v>6.833333333333329</x:v>
      </x:c>
      <x:c r="N20" s="61" t="n">
        <x:f>Assumptions!$C$26</x:f>
        <x:v>500</x:v>
      </x:c>
      <x:c r="O20" s="62" t="n">
        <x:f>MAX(0,I20-I19)</x:f>
        <x:v>0.16666666666666652</x:v>
      </x:c>
      <x:c r="P20" s="61" t="n">
        <x:f>Assumptions!$C$27</x:f>
        <x:v>4000</x:v>
      </x:c>
      <x:c r="Q20" s="61" t="n">
        <x:f>M20*N20+O20*P20</x:f>
        <x:v>4083.3333333333303</x:v>
      </x:c>
      <x:c r="R20" s="61" t="n">
        <x:f>SUM(D20,F20,H20,J20,L20,Q20)</x:f>
        <x:v>20905.38333333333</x:v>
      </x:c>
    </x:row>
    <x:row r="21">
      <x:c r="A21" s="59" t="n">
        <x:v>46753</x:v>
      </x:c>
      <x:c r="B21" s="43" t="n">
        <x:v>2</x:v>
      </x:c>
      <x:c r="C21" s="60" t="n">
        <x:f>Assumptions!$B$17+(Assumptions!$C$17-Assumptions!$B$17)*5/12</x:f>
        <x:v>28.083333333333336</x:v>
      </x:c>
      <x:c r="D21" s="61" t="n">
        <x:f>C21*Assumptions!$C$18</x:f>
        <x:v>2780.2500000000005</x:v>
      </x:c>
      <x:c r="E21" s="60" t="n">
        <x:f>Assumptions!$B$19+(Assumptions!$C$19-Assumptions!$B$19)*5/12</x:f>
        <x:v>32.25</x:v>
      </x:c>
      <x:c r="F21" s="61" t="n">
        <x:f>E21*Assumptions!$C$20</x:f>
        <x:v>8030.25</x:v>
      </x:c>
      <x:c r="G21" s="60" t="n">
        <x:f>Assumptions!$B$21+(Assumptions!$C$21-Assumptions!$B$21)*5/12</x:f>
        <x:v>8.833333333333332</x:v>
      </x:c>
      <x:c r="H21" s="61" t="n">
        <x:f>G21*Assumptions!$C$22</x:f>
        <x:v>5291.166666666666</x:v>
      </x:c>
      <x:c r="I21" s="62" t="n">
        <x:f>Assumptions!$B$23+(Assumptions!$C$23-Assumptions!$B$23)*5/12</x:f>
        <x:v>1.8333333333333335</x:v>
      </x:c>
      <x:c r="J21" s="61" t="n">
        <x:f>I21*Assumptions!$C$24</x:f>
        <x:v>1833.3333333333335</x:v>
      </x:c>
      <x:c r="K21" s="53" t="n">
        <x:f>Assumptions!$C$25</x:f>
        <x:v>0.05</x:v>
      </x:c>
      <x:c r="L21" s="61" t="n">
        <x:f>SUM(D21,F21,H21,J21)*K21</x:f>
        <x:v>896.75</x:v>
      </x:c>
      <x:c r="M21" s="62" t="n">
        <x:f>MAX(0,C21+E21+G21-C20-E20-G20)</x:f>
        <x:v>6.83333333333334</x:v>
      </x:c>
      <x:c r="N21" s="61" t="n">
        <x:f>Assumptions!$C$26</x:f>
        <x:v>500</x:v>
      </x:c>
      <x:c r="O21" s="62" t="n">
        <x:f>MAX(0,I21-I20)</x:f>
        <x:v>0.16666666666666696</x:v>
      </x:c>
      <x:c r="P21" s="61" t="n">
        <x:f>Assumptions!$C$27</x:f>
        <x:v>4000</x:v>
      </x:c>
      <x:c r="Q21" s="61" t="n">
        <x:f>M21*N21+O21*P21</x:f>
        <x:v>4083.333333333338</x:v>
      </x:c>
      <x:c r="R21" s="61" t="n">
        <x:f>SUM(D21,F21,H21,J21,L21,Q21)</x:f>
        <x:v>22915.08333333334</x:v>
      </x:c>
    </x:row>
    <x:row r="22">
      <x:c r="A22" s="59" t="n">
        <x:v>46784</x:v>
      </x:c>
      <x:c r="B22" s="43" t="n">
        <x:v>2</x:v>
      </x:c>
      <x:c r="C22" s="60" t="n">
        <x:f>Assumptions!$B$17+(Assumptions!$C$17-Assumptions!$B$17)*6/12</x:f>
        <x:v>30.5</x:v>
      </x:c>
      <x:c r="D22" s="61" t="n">
        <x:f>C22*Assumptions!$C$18</x:f>
        <x:v>3019.5</x:v>
      </x:c>
      <x:c r="E22" s="60" t="n">
        <x:f>Assumptions!$B$19+(Assumptions!$C$19-Assumptions!$B$19)*6/12</x:f>
        <x:v>35.5</x:v>
      </x:c>
      <x:c r="F22" s="61" t="n">
        <x:f>E22*Assumptions!$C$20</x:f>
        <x:v>8839.5</x:v>
      </x:c>
      <x:c r="G22" s="60" t="n">
        <x:f>Assumptions!$B$21+(Assumptions!$C$21-Assumptions!$B$21)*6/12</x:f>
        <x:v>10</x:v>
      </x:c>
      <x:c r="H22" s="61" t="n">
        <x:f>G22*Assumptions!$C$22</x:f>
        <x:v>5990</x:v>
      </x:c>
      <x:c r="I22" s="62" t="n">
        <x:f>Assumptions!$B$23+(Assumptions!$C$23-Assumptions!$B$23)*6/12</x:f>
        <x:v>2</x:v>
      </x:c>
      <x:c r="J22" s="61" t="n">
        <x:f>I22*Assumptions!$C$24</x:f>
        <x:v>2000</x:v>
      </x:c>
      <x:c r="K22" s="53" t="n">
        <x:f>Assumptions!$C$25</x:f>
        <x:v>0.05</x:v>
      </x:c>
      <x:c r="L22" s="61" t="n">
        <x:f>SUM(D22,F22,H22,J22)*K22</x:f>
        <x:v>992.45</x:v>
      </x:c>
      <x:c r="M22" s="62" t="n">
        <x:f>MAX(0,C22+E22+G22-C21-E21-G21)</x:f>
        <x:v>6.833333333333332</x:v>
      </x:c>
      <x:c r="N22" s="61" t="n">
        <x:f>Assumptions!$C$26</x:f>
        <x:v>500</x:v>
      </x:c>
      <x:c r="O22" s="62" t="n">
        <x:f>MAX(0,I22-I21)</x:f>
        <x:v>0.16666666666666652</x:v>
      </x:c>
      <x:c r="P22" s="61" t="n">
        <x:f>Assumptions!$C$27</x:f>
        <x:v>4000</x:v>
      </x:c>
      <x:c r="Q22" s="61" t="n">
        <x:f>M22*N22+O22*P22</x:f>
        <x:v>4083.333333333332</x:v>
      </x:c>
      <x:c r="R22" s="61" t="n">
        <x:f>SUM(D22,F22,H22,J22,L22,Q22)</x:f>
        <x:v>24924.783333333333</x:v>
      </x:c>
    </x:row>
    <x:row r="23">
      <x:c r="A23" s="59" t="n">
        <x:v>46813</x:v>
      </x:c>
      <x:c r="B23" s="43" t="n">
        <x:v>2</x:v>
      </x:c>
      <x:c r="C23" s="60" t="n">
        <x:f>Assumptions!$B$17+(Assumptions!$C$17-Assumptions!$B$17)*7/12</x:f>
        <x:v>32.91666666666667</x:v>
      </x:c>
      <x:c r="D23" s="61" t="n">
        <x:f>C23*Assumptions!$C$18</x:f>
        <x:v>3258.7500000000005</x:v>
      </x:c>
      <x:c r="E23" s="60" t="n">
        <x:f>Assumptions!$B$19+(Assumptions!$C$19-Assumptions!$B$19)*7/12</x:f>
        <x:v>38.75</x:v>
      </x:c>
      <x:c r="F23" s="61" t="n">
        <x:f>E23*Assumptions!$C$20</x:f>
        <x:v>9648.75</x:v>
      </x:c>
      <x:c r="G23" s="60" t="n">
        <x:f>Assumptions!$B$21+(Assumptions!$C$21-Assumptions!$B$21)*7/12</x:f>
        <x:v>11.166666666666666</x:v>
      </x:c>
      <x:c r="H23" s="61" t="n">
        <x:f>G23*Assumptions!$C$22</x:f>
        <x:v>6688.833333333333</x:v>
      </x:c>
      <x:c r="I23" s="62" t="n">
        <x:f>Assumptions!$B$23+(Assumptions!$C$23-Assumptions!$B$23)*7/12</x:f>
        <x:v>2.166666666666667</x:v>
      </x:c>
      <x:c r="J23" s="61" t="n">
        <x:f>I23*Assumptions!$C$24</x:f>
        <x:v>2166.666666666667</x:v>
      </x:c>
      <x:c r="K23" s="53" t="n">
        <x:f>Assumptions!$C$25</x:f>
        <x:v>0.05</x:v>
      </x:c>
      <x:c r="L23" s="61" t="n">
        <x:f>SUM(D23,F23,H23,J23)*K23</x:f>
        <x:v>1088.15</x:v>
      </x:c>
      <x:c r="M23" s="62" t="n">
        <x:f>MAX(0,C23+E23+G23-C22-E22-G22)</x:f>
        <x:v>6.833333333333343</x:v>
      </x:c>
      <x:c r="N23" s="61" t="n">
        <x:f>Assumptions!$C$26</x:f>
        <x:v>500</x:v>
      </x:c>
      <x:c r="O23" s="62" t="n">
        <x:f>MAX(0,I23-I22)</x:f>
        <x:v>0.16666666666666696</x:v>
      </x:c>
      <x:c r="P23" s="61" t="n">
        <x:f>Assumptions!$C$27</x:f>
        <x:v>4000</x:v>
      </x:c>
      <x:c r="Q23" s="61" t="n">
        <x:f>M23*N23+O23*P23</x:f>
        <x:v>4083.3333333333394</x:v>
      </x:c>
      <x:c r="R23" s="61" t="n">
        <x:f>SUM(D23,F23,H23,J23,L23,Q23)</x:f>
        <x:v>26934.48333333334</x:v>
      </x:c>
    </x:row>
    <x:row r="24">
      <x:c r="A24" s="59" t="n">
        <x:v>46844</x:v>
      </x:c>
      <x:c r="B24" s="43" t="n">
        <x:v>2</x:v>
      </x:c>
      <x:c r="C24" s="60" t="n">
        <x:f>Assumptions!$B$17+(Assumptions!$C$17-Assumptions!$B$17)*8/12</x:f>
        <x:v>35.33333333333333</x:v>
      </x:c>
      <x:c r="D24" s="61" t="n">
        <x:f>C24*Assumptions!$C$18</x:f>
        <x:v>3497.9999999999995</x:v>
      </x:c>
      <x:c r="E24" s="60" t="n">
        <x:f>Assumptions!$B$19+(Assumptions!$C$19-Assumptions!$B$19)*8/12</x:f>
        <x:v>42</x:v>
      </x:c>
      <x:c r="F24" s="61" t="n">
        <x:f>E24*Assumptions!$C$20</x:f>
        <x:v>10458</x:v>
      </x:c>
      <x:c r="G24" s="60" t="n">
        <x:f>Assumptions!$B$21+(Assumptions!$C$21-Assumptions!$B$21)*8/12</x:f>
        <x:v>12.333333333333334</x:v>
      </x:c>
      <x:c r="H24" s="61" t="n">
        <x:f>G24*Assumptions!$C$22</x:f>
        <x:v>7387.666666666667</x:v>
      </x:c>
      <x:c r="I24" s="62" t="n">
        <x:f>Assumptions!$B$23+(Assumptions!$C$23-Assumptions!$B$23)*8/12</x:f>
        <x:v>2.333333333333333</x:v>
      </x:c>
      <x:c r="J24" s="61" t="n">
        <x:f>I24*Assumptions!$C$24</x:f>
        <x:v>2333.333333333333</x:v>
      </x:c>
      <x:c r="K24" s="53" t="n">
        <x:f>Assumptions!$C$25</x:f>
        <x:v>0.05</x:v>
      </x:c>
      <x:c r="L24" s="61" t="n">
        <x:f>SUM(D24,F24,H24,J24)*K24</x:f>
        <x:v>1183.8500000000001</x:v>
      </x:c>
      <x:c r="M24" s="62" t="n">
        <x:f>MAX(0,C24+E24+G24-C23-E23-G23)</x:f>
        <x:v>6.83333333333332</x:v>
      </x:c>
      <x:c r="N24" s="61" t="n">
        <x:f>Assumptions!$C$26</x:f>
        <x:v>500</x:v>
      </x:c>
      <x:c r="O24" s="62" t="n">
        <x:f>MAX(0,I24-I23)</x:f>
        <x:v>0.16666666666666607</x:v>
      </x:c>
      <x:c r="P24" s="61" t="n">
        <x:f>Assumptions!$C$27</x:f>
        <x:v>4000</x:v>
      </x:c>
      <x:c r="Q24" s="61" t="n">
        <x:f>M24*N24+O24*P24</x:f>
        <x:v>4083.333333333324</x:v>
      </x:c>
      <x:c r="R24" s="61" t="n">
        <x:f>SUM(D24,F24,H24,J24,L24,Q24)</x:f>
        <x:v>28944.183333333323</x:v>
      </x:c>
    </x:row>
    <x:row r="25">
      <x:c r="A25" s="59" t="n">
        <x:v>46874</x:v>
      </x:c>
      <x:c r="B25" s="43" t="n">
        <x:v>2</x:v>
      </x:c>
      <x:c r="C25" s="60" t="n">
        <x:f>Assumptions!$B$17+(Assumptions!$C$17-Assumptions!$B$17)*9/12</x:f>
        <x:v>37.75</x:v>
      </x:c>
      <x:c r="D25" s="61" t="n">
        <x:f>C25*Assumptions!$C$18</x:f>
        <x:v>3737.25</x:v>
      </x:c>
      <x:c r="E25" s="60" t="n">
        <x:f>Assumptions!$B$19+(Assumptions!$C$19-Assumptions!$B$19)*9/12</x:f>
        <x:v>45.25</x:v>
      </x:c>
      <x:c r="F25" s="61" t="n">
        <x:f>E25*Assumptions!$C$20</x:f>
        <x:v>11267.25</x:v>
      </x:c>
      <x:c r="G25" s="60" t="n">
        <x:f>Assumptions!$B$21+(Assumptions!$C$21-Assumptions!$B$21)*9/12</x:f>
        <x:v>13.5</x:v>
      </x:c>
      <x:c r="H25" s="61" t="n">
        <x:f>G25*Assumptions!$C$22</x:f>
        <x:v>8086.5</x:v>
      </x:c>
      <x:c r="I25" s="62" t="n">
        <x:f>Assumptions!$B$23+(Assumptions!$C$23-Assumptions!$B$23)*9/12</x:f>
        <x:v>2.5</x:v>
      </x:c>
      <x:c r="J25" s="61" t="n">
        <x:f>I25*Assumptions!$C$24</x:f>
        <x:v>2500</x:v>
      </x:c>
      <x:c r="K25" s="53" t="n">
        <x:f>Assumptions!$C$25</x:f>
        <x:v>0.05</x:v>
      </x:c>
      <x:c r="L25" s="61" t="n">
        <x:f>SUM(D25,F25,H25,J25)*K25</x:f>
        <x:v>1279.5500000000002</x:v>
      </x:c>
      <x:c r="M25" s="62" t="n">
        <x:f>MAX(0,C25+E25+G25-C24-E24-G24)</x:f>
        <x:v>6.8333333333333375</x:v>
      </x:c>
      <x:c r="N25" s="61" t="n">
        <x:f>Assumptions!$C$26</x:f>
        <x:v>500</x:v>
      </x:c>
      <x:c r="O25" s="62" t="n">
        <x:f>MAX(0,I25-I24)</x:f>
        <x:v>0.16666666666666696</x:v>
      </x:c>
      <x:c r="P25" s="61" t="n">
        <x:f>Assumptions!$C$27</x:f>
        <x:v>4000</x:v>
      </x:c>
      <x:c r="Q25" s="61" t="n">
        <x:f>M25*N25+O25*P25</x:f>
        <x:v>4083.3333333333367</x:v>
      </x:c>
      <x:c r="R25" s="61" t="n">
        <x:f>SUM(D25,F25,H25,J25,L25,Q25)</x:f>
        <x:v>30953.883333333335</x:v>
      </x:c>
    </x:row>
    <x:row r="26">
      <x:c r="A26" s="59" t="n">
        <x:v>46905</x:v>
      </x:c>
      <x:c r="B26" s="43" t="n">
        <x:v>2</x:v>
      </x:c>
      <x:c r="C26" s="60" t="n">
        <x:f>Assumptions!$B$17+(Assumptions!$C$17-Assumptions!$B$17)*10/12</x:f>
        <x:v>40.16666666666667</x:v>
      </x:c>
      <x:c r="D26" s="61" t="n">
        <x:f>C26*Assumptions!$C$18</x:f>
        <x:v>3976.5000000000005</x:v>
      </x:c>
      <x:c r="E26" s="60" t="n">
        <x:f>Assumptions!$B$19+(Assumptions!$C$19-Assumptions!$B$19)*10/12</x:f>
        <x:v>48.5</x:v>
      </x:c>
      <x:c r="F26" s="61" t="n">
        <x:f>E26*Assumptions!$C$20</x:f>
        <x:v>12076.5</x:v>
      </x:c>
      <x:c r="G26" s="60" t="n">
        <x:f>Assumptions!$B$21+(Assumptions!$C$21-Assumptions!$B$21)*10/12</x:f>
        <x:v>14.666666666666666</x:v>
      </x:c>
      <x:c r="H26" s="61" t="n">
        <x:f>G26*Assumptions!$C$22</x:f>
        <x:v>8785.333333333332</x:v>
      </x:c>
      <x:c r="I26" s="62" t="n">
        <x:f>Assumptions!$B$23+(Assumptions!$C$23-Assumptions!$B$23)*10/12</x:f>
        <x:v>2.666666666666667</x:v>
      </x:c>
      <x:c r="J26" s="61" t="n">
        <x:f>I26*Assumptions!$C$24</x:f>
        <x:v>2666.666666666667</x:v>
      </x:c>
      <x:c r="K26" s="53" t="n">
        <x:f>Assumptions!$C$25</x:f>
        <x:v>0.05</x:v>
      </x:c>
      <x:c r="L26" s="61" t="n">
        <x:f>SUM(D26,F26,H26,J26)*K26</x:f>
        <x:v>1375.25</x:v>
      </x:c>
      <x:c r="M26" s="62" t="n">
        <x:f>MAX(0,C26+E26+G26-C25-E25-G25)</x:f>
        <x:v>6.833333333333343</x:v>
      </x:c>
      <x:c r="N26" s="61" t="n">
        <x:f>Assumptions!$C$26</x:f>
        <x:v>500</x:v>
      </x:c>
      <x:c r="O26" s="62" t="n">
        <x:f>MAX(0,I26-I25)</x:f>
        <x:v>0.16666666666666696</x:v>
      </x:c>
      <x:c r="P26" s="61" t="n">
        <x:f>Assumptions!$C$27</x:f>
        <x:v>4000</x:v>
      </x:c>
      <x:c r="Q26" s="61" t="n">
        <x:f>M26*N26+O26*P26</x:f>
        <x:v>4083.3333333333394</x:v>
      </x:c>
      <x:c r="R26" s="61" t="n">
        <x:f>SUM(D26,F26,H26,J26,L26,Q26)</x:f>
        <x:v>32963.58333333334</x:v>
      </x:c>
    </x:row>
    <x:row r="27">
      <x:c r="A27" s="59" t="n">
        <x:v>46935</x:v>
      </x:c>
      <x:c r="B27" s="43" t="n">
        <x:v>2</x:v>
      </x:c>
      <x:c r="C27" s="60" t="n">
        <x:f>Assumptions!$B$17+(Assumptions!$C$17-Assumptions!$B$17)*11/12</x:f>
        <x:v>42.58333333333333</x:v>
      </x:c>
      <x:c r="D27" s="61" t="n">
        <x:f>C27*Assumptions!$C$18</x:f>
        <x:v>4215.749999999999</x:v>
      </x:c>
      <x:c r="E27" s="60" t="n">
        <x:f>Assumptions!$B$19+(Assumptions!$C$19-Assumptions!$B$19)*11/12</x:f>
        <x:v>51.75</x:v>
      </x:c>
      <x:c r="F27" s="61" t="n">
        <x:f>E27*Assumptions!$C$20</x:f>
        <x:v>12885.75</x:v>
      </x:c>
      <x:c r="G27" s="60" t="n">
        <x:f>Assumptions!$B$21+(Assumptions!$C$21-Assumptions!$B$21)*11/12</x:f>
        <x:v>15.833333333333334</x:v>
      </x:c>
      <x:c r="H27" s="61" t="n">
        <x:f>G27*Assumptions!$C$22</x:f>
        <x:v>9484.166666666668</x:v>
      </x:c>
      <x:c r="I27" s="62" t="n">
        <x:f>Assumptions!$B$23+(Assumptions!$C$23-Assumptions!$B$23)*11/12</x:f>
        <x:v>2.833333333333333</x:v>
      </x:c>
      <x:c r="J27" s="61" t="n">
        <x:f>I27*Assumptions!$C$24</x:f>
        <x:v>2833.333333333333</x:v>
      </x:c>
      <x:c r="K27" s="53" t="n">
        <x:f>Assumptions!$C$25</x:f>
        <x:v>0.05</x:v>
      </x:c>
      <x:c r="L27" s="61" t="n">
        <x:f>SUM(D27,F27,H27,J27)*K27</x:f>
        <x:v>1470.95</x:v>
      </x:c>
      <x:c r="M27" s="62" t="n">
        <x:f>MAX(0,C27+E27+G27-C26-E26-G26)</x:f>
        <x:v>6.83333333333332</x:v>
      </x:c>
      <x:c r="N27" s="61" t="n">
        <x:f>Assumptions!$C$26</x:f>
        <x:v>500</x:v>
      </x:c>
      <x:c r="O27" s="62" t="n">
        <x:f>MAX(0,I27-I26)</x:f>
        <x:v>0.16666666666666607</x:v>
      </x:c>
      <x:c r="P27" s="61" t="n">
        <x:f>Assumptions!$C$27</x:f>
        <x:v>4000</x:v>
      </x:c>
      <x:c r="Q27" s="61" t="n">
        <x:f>M27*N27+O27*P27</x:f>
        <x:v>4083.333333333324</x:v>
      </x:c>
      <x:c r="R27" s="61" t="n">
        <x:f>SUM(D27,F27,H27,J27,L27,Q27)</x:f>
        <x:v>34973.283333333326</x:v>
      </x:c>
    </x:row>
    <x:row r="28">
      <x:c r="A28" s="59" t="n">
        <x:v>46966</x:v>
      </x:c>
      <x:c r="B28" s="43" t="n">
        <x:v>2</x:v>
      </x:c>
      <x:c r="C28" s="60" t="n">
        <x:f>Assumptions!$B$17+(Assumptions!$C$17-Assumptions!$B$17)*12/12</x:f>
        <x:v>45</x:v>
      </x:c>
      <x:c r="D28" s="61" t="n">
        <x:f>C28*Assumptions!$C$18</x:f>
        <x:v>4455</x:v>
      </x:c>
      <x:c r="E28" s="60" t="n">
        <x:f>Assumptions!$B$19+(Assumptions!$C$19-Assumptions!$B$19)*12/12</x:f>
        <x:v>55</x:v>
      </x:c>
      <x:c r="F28" s="61" t="n">
        <x:f>E28*Assumptions!$C$20</x:f>
        <x:v>13695</x:v>
      </x:c>
      <x:c r="G28" s="60" t="n">
        <x:f>Assumptions!$B$21+(Assumptions!$C$21-Assumptions!$B$21)*12/12</x:f>
        <x:v>17</x:v>
      </x:c>
      <x:c r="H28" s="61" t="n">
        <x:f>G28*Assumptions!$C$22</x:f>
        <x:v>10183</x:v>
      </x:c>
      <x:c r="I28" s="62" t="n">
        <x:f>Assumptions!$B$23+(Assumptions!$C$23-Assumptions!$B$23)*12/12</x:f>
        <x:v>3</x:v>
      </x:c>
      <x:c r="J28" s="61" t="n">
        <x:f>I28*Assumptions!$C$24</x:f>
        <x:v>3000</x:v>
      </x:c>
      <x:c r="K28" s="53" t="n">
        <x:f>Assumptions!$C$25</x:f>
        <x:v>0.05</x:v>
      </x:c>
      <x:c r="L28" s="61" t="n">
        <x:f>SUM(D28,F28,H28,J28)*K28</x:f>
        <x:v>1566.65</x:v>
      </x:c>
      <x:c r="M28" s="62" t="n">
        <x:f>MAX(0,C28+E28+G28-C27-E27-G27)</x:f>
        <x:v>6.8333333333333375</x:v>
      </x:c>
      <x:c r="N28" s="61" t="n">
        <x:f>Assumptions!$C$26</x:f>
        <x:v>500</x:v>
      </x:c>
      <x:c r="O28" s="62" t="n">
        <x:f>MAX(0,I28-I27)</x:f>
        <x:v>0.16666666666666696</x:v>
      </x:c>
      <x:c r="P28" s="61" t="n">
        <x:f>Assumptions!$C$27</x:f>
        <x:v>4000</x:v>
      </x:c>
      <x:c r="Q28" s="61" t="n">
        <x:f>M28*N28+O28*P28</x:f>
        <x:v>4083.3333333333367</x:v>
      </x:c>
      <x:c r="R28" s="61" t="n">
        <x:f>SUM(D28,F28,H28,J28,L28,Q28)</x:f>
        <x:v>36982.98333333334</x:v>
      </x:c>
    </x:row>
    <x:row r="29">
      <x:c r="A29" s="59" t="n">
        <x:v>46997</x:v>
      </x:c>
      <x:c r="B29" s="43" t="n">
        <x:v>3</x:v>
      </x:c>
      <x:c r="C29" s="60" t="n">
        <x:f>Assumptions!$C$17+(Assumptions!$D$17-Assumptions!$C$17)*1/12</x:f>
        <x:v>48.333333333333336</x:v>
      </x:c>
      <x:c r="D29" s="61" t="n">
        <x:f>C29*Assumptions!$D$18</x:f>
        <x:v>4785</x:v>
      </x:c>
      <x:c r="E29" s="60" t="n">
        <x:f>Assumptions!$C$19+(Assumptions!$D$19-Assumptions!$C$19)*1/12</x:f>
        <x:v>64.16666666666667</x:v>
      </x:c>
      <x:c r="F29" s="61" t="n">
        <x:f>E29*Assumptions!$D$20</x:f>
        <x:v>15977.500000000002</x:v>
      </x:c>
      <x:c r="G29" s="60" t="n">
        <x:f>Assumptions!$C$21+(Assumptions!$D$21-Assumptions!$C$21)*1/12</x:f>
        <x:v>19.166666666666668</x:v>
      </x:c>
      <x:c r="H29" s="61" t="n">
        <x:f>G29*Assumptions!$D$22</x:f>
        <x:v>11480.833333333334</x:v>
      </x:c>
      <x:c r="I29" s="62" t="n">
        <x:f>Assumptions!$C$23+(Assumptions!$D$23-Assumptions!$C$23)*1/12</x:f>
        <x:v>3.3333333333333335</x:v>
      </x:c>
      <x:c r="J29" s="61" t="n">
        <x:f>I29*Assumptions!$D$24</x:f>
        <x:v>3333.3333333333335</x:v>
      </x:c>
      <x:c r="K29" s="53" t="n">
        <x:f>Assumptions!$D$25</x:f>
        <x:v>0.08</x:v>
      </x:c>
      <x:c r="L29" s="61" t="n">
        <x:f>SUM(D29,F29,H29,J29)*K29</x:f>
        <x:v>2846.1333333333337</x:v>
      </x:c>
      <x:c r="M29" s="62" t="n">
        <x:f>MAX(0,C29+E29+G29-C28-E28-G28)</x:f>
        <x:v>14.666666666666657</x:v>
      </x:c>
      <x:c r="N29" s="61" t="n">
        <x:f>Assumptions!$D$26</x:f>
        <x:v>400</x:v>
      </x:c>
      <x:c r="O29" s="62" t="n">
        <x:f>MAX(0,I29-I28)</x:f>
        <x:v>0.3333333333333335</x:v>
      </x:c>
      <x:c r="P29" s="61" t="n">
        <x:f>Assumptions!$D$27</x:f>
        <x:v>5000</x:v>
      </x:c>
      <x:c r="Q29" s="61" t="n">
        <x:f>M29*N29+O29*P29</x:f>
        <x:v>7533.33333333333</x:v>
      </x:c>
      <x:c r="R29" s="61" t="n">
        <x:f>SUM(D29,F29,H29,J29,L29,Q29)</x:f>
        <x:v>45956.13333333333</x:v>
      </x:c>
    </x:row>
    <x:row r="30">
      <x:c r="A30" s="59" t="n">
        <x:v>47027</x:v>
      </x:c>
      <x:c r="B30" s="43" t="n">
        <x:v>3</x:v>
      </x:c>
      <x:c r="C30" s="60" t="n">
        <x:f>Assumptions!$C$17+(Assumptions!$D$17-Assumptions!$C$17)*2/12</x:f>
        <x:v>51.666666666666664</x:v>
      </x:c>
      <x:c r="D30" s="61" t="n">
        <x:f>C30*Assumptions!$D$18</x:f>
        <x:v>5115</x:v>
      </x:c>
      <x:c r="E30" s="60" t="n">
        <x:f>Assumptions!$C$19+(Assumptions!$D$19-Assumptions!$C$19)*2/12</x:f>
        <x:v>73.33333333333333</x:v>
      </x:c>
      <x:c r="F30" s="61" t="n">
        <x:f>E30*Assumptions!$D$20</x:f>
        <x:v>18260</x:v>
      </x:c>
      <x:c r="G30" s="60" t="n">
        <x:f>Assumptions!$C$21+(Assumptions!$D$21-Assumptions!$C$21)*2/12</x:f>
        <x:v>21.333333333333332</x:v>
      </x:c>
      <x:c r="H30" s="61" t="n">
        <x:f>G30*Assumptions!$D$22</x:f>
        <x:v>12778.666666666666</x:v>
      </x:c>
      <x:c r="I30" s="62" t="n">
        <x:f>Assumptions!$C$23+(Assumptions!$D$23-Assumptions!$C$23)*2/12</x:f>
        <x:v>3.6666666666666665</x:v>
      </x:c>
      <x:c r="J30" s="61" t="n">
        <x:f>I30*Assumptions!$D$24</x:f>
        <x:v>3666.6666666666665</x:v>
      </x:c>
      <x:c r="K30" s="53" t="n">
        <x:f>Assumptions!$D$25</x:f>
        <x:v>0.08</x:v>
      </x:c>
      <x:c r="L30" s="61" t="n">
        <x:f>SUM(D30,F30,H30,J30)*K30</x:f>
        <x:v>3185.6266666666666</x:v>
      </x:c>
      <x:c r="M30" s="62" t="n">
        <x:f>MAX(0,C30+E30+G30-C29-E29-G29)</x:f>
        <x:v>14.66666666666666</x:v>
      </x:c>
      <x:c r="N30" s="61" t="n">
        <x:f>Assumptions!$D$26</x:f>
        <x:v>400</x:v>
      </x:c>
      <x:c r="O30" s="62" t="n">
        <x:f>MAX(0,I30-I29)</x:f>
        <x:v>0.33333333333333304</x:v>
      </x:c>
      <x:c r="P30" s="61" t="n">
        <x:f>Assumptions!$D$27</x:f>
        <x:v>5000</x:v>
      </x:c>
      <x:c r="Q30" s="61" t="n">
        <x:f>M30*N30+O30*P30</x:f>
        <x:v>7533.333333333329</x:v>
      </x:c>
      <x:c r="R30" s="61" t="n">
        <x:f>SUM(D30,F30,H30,J30,L30,Q30)</x:f>
        <x:v>50539.29333333332</x:v>
      </x:c>
    </x:row>
    <x:row r="31">
      <x:c r="A31" s="59" t="n">
        <x:v>47058</x:v>
      </x:c>
      <x:c r="B31" s="43" t="n">
        <x:v>3</x:v>
      </x:c>
      <x:c r="C31" s="60" t="n">
        <x:f>Assumptions!$C$17+(Assumptions!$D$17-Assumptions!$C$17)*3/12</x:f>
        <x:v>55</x:v>
      </x:c>
      <x:c r="D31" s="61" t="n">
        <x:f>C31*Assumptions!$D$18</x:f>
        <x:v>5445</x:v>
      </x:c>
      <x:c r="E31" s="60" t="n">
        <x:f>Assumptions!$C$19+(Assumptions!$D$19-Assumptions!$C$19)*3/12</x:f>
        <x:v>82.5</x:v>
      </x:c>
      <x:c r="F31" s="61" t="n">
        <x:f>E31*Assumptions!$D$20</x:f>
        <x:v>20542.5</x:v>
      </x:c>
      <x:c r="G31" s="60" t="n">
        <x:f>Assumptions!$C$21+(Assumptions!$D$21-Assumptions!$C$21)*3/12</x:f>
        <x:v>23.5</x:v>
      </x:c>
      <x:c r="H31" s="61" t="n">
        <x:f>G31*Assumptions!$D$22</x:f>
        <x:v>14076.5</x:v>
      </x:c>
      <x:c r="I31" s="62" t="n">
        <x:f>Assumptions!$C$23+(Assumptions!$D$23-Assumptions!$C$23)*3/12</x:f>
        <x:v>4</x:v>
      </x:c>
      <x:c r="J31" s="61" t="n">
        <x:f>I31*Assumptions!$D$24</x:f>
        <x:v>4000</x:v>
      </x:c>
      <x:c r="K31" s="53" t="n">
        <x:f>Assumptions!$D$25</x:f>
        <x:v>0.08</x:v>
      </x:c>
      <x:c r="L31" s="61" t="n">
        <x:f>SUM(D31,F31,H31,J31)*K31</x:f>
        <x:v>3525.12</x:v>
      </x:c>
      <x:c r="M31" s="62" t="n">
        <x:f>MAX(0,C31+E31+G31-C30-E30-G30)</x:f>
        <x:v>14.666666666666682</x:v>
      </x:c>
      <x:c r="N31" s="61" t="n">
        <x:f>Assumptions!$D$26</x:f>
        <x:v>400</x:v>
      </x:c>
      <x:c r="O31" s="62" t="n">
        <x:f>MAX(0,I31-I30)</x:f>
        <x:v>0.3333333333333335</x:v>
      </x:c>
      <x:c r="P31" s="61" t="n">
        <x:f>Assumptions!$D$27</x:f>
        <x:v>5000</x:v>
      </x:c>
      <x:c r="Q31" s="61" t="n">
        <x:f>M31*N31+O31*P31</x:f>
        <x:v>7533.333333333339</x:v>
      </x:c>
      <x:c r="R31" s="61" t="n">
        <x:f>SUM(D31,F31,H31,J31,L31,Q31)</x:f>
        <x:v>55122.45333333334</x:v>
      </x:c>
    </x:row>
    <x:row r="32">
      <x:c r="A32" s="59" t="n">
        <x:v>47088</x:v>
      </x:c>
      <x:c r="B32" s="43" t="n">
        <x:v>3</x:v>
      </x:c>
      <x:c r="C32" s="60" t="n">
        <x:f>Assumptions!$C$17+(Assumptions!$D$17-Assumptions!$C$17)*4/12</x:f>
        <x:v>58.333333333333336</x:v>
      </x:c>
      <x:c r="D32" s="61" t="n">
        <x:f>C32*Assumptions!$D$18</x:f>
        <x:v>5775</x:v>
      </x:c>
      <x:c r="E32" s="60" t="n">
        <x:f>Assumptions!$C$19+(Assumptions!$D$19-Assumptions!$C$19)*4/12</x:f>
        <x:v>91.66666666666666</x:v>
      </x:c>
      <x:c r="F32" s="61" t="n">
        <x:f>E32*Assumptions!$D$20</x:f>
        <x:v>22824.999999999996</x:v>
      </x:c>
      <x:c r="G32" s="60" t="n">
        <x:f>Assumptions!$C$21+(Assumptions!$D$21-Assumptions!$C$21)*4/12</x:f>
        <x:v>25.666666666666664</x:v>
      </x:c>
      <x:c r="H32" s="61" t="n">
        <x:f>G32*Assumptions!$D$22</x:f>
        <x:v>15374.333333333332</x:v>
      </x:c>
      <x:c r="I32" s="62" t="n">
        <x:f>Assumptions!$C$23+(Assumptions!$D$23-Assumptions!$C$23)*4/12</x:f>
        <x:v>4.333333333333333</x:v>
      </x:c>
      <x:c r="J32" s="61" t="n">
        <x:f>I32*Assumptions!$D$24</x:f>
        <x:v>4333.333333333333</x:v>
      </x:c>
      <x:c r="K32" s="53" t="n">
        <x:f>Assumptions!$D$25</x:f>
        <x:v>0.08</x:v>
      </x:c>
      <x:c r="L32" s="61" t="n">
        <x:f>SUM(D32,F32,H32,J32)*K32</x:f>
        <x:v>3864.6133333333332</x:v>
      </x:c>
      <x:c r="M32" s="62" t="n">
        <x:f>MAX(0,C32+E32+G32-C31-E31-G31)</x:f>
        <x:v>14.666666666666657</x:v>
      </x:c>
      <x:c r="N32" s="61" t="n">
        <x:f>Assumptions!$D$26</x:f>
        <x:v>400</x:v>
      </x:c>
      <x:c r="O32" s="62" t="n">
        <x:f>MAX(0,I32-I31)</x:f>
        <x:v>0.33333333333333304</x:v>
      </x:c>
      <x:c r="P32" s="61" t="n">
        <x:f>Assumptions!$D$27</x:f>
        <x:v>5000</x:v>
      </x:c>
      <x:c r="Q32" s="61" t="n">
        <x:f>M32*N32+O32*P32</x:f>
        <x:v>7533.333333333328</x:v>
      </x:c>
      <x:c r="R32" s="61" t="n">
        <x:f>SUM(D32,F32,H32,J32,L32,Q32)</x:f>
        <x:v>59705.61333333333</x:v>
      </x:c>
    </x:row>
    <x:row r="33">
      <x:c r="A33" s="59" t="n">
        <x:v>47119</x:v>
      </x:c>
      <x:c r="B33" s="43" t="n">
        <x:v>3</x:v>
      </x:c>
      <x:c r="C33" s="60" t="n">
        <x:f>Assumptions!$C$17+(Assumptions!$D$17-Assumptions!$C$17)*5/12</x:f>
        <x:v>61.66666666666667</x:v>
      </x:c>
      <x:c r="D33" s="61" t="n">
        <x:f>C33*Assumptions!$D$18</x:f>
        <x:v>6105.000000000001</x:v>
      </x:c>
      <x:c r="E33" s="60" t="n">
        <x:f>Assumptions!$C$19+(Assumptions!$D$19-Assumptions!$C$19)*5/12</x:f>
        <x:v>100.83333333333334</x:v>
      </x:c>
      <x:c r="F33" s="61" t="n">
        <x:f>E33*Assumptions!$D$20</x:f>
        <x:v>25107.500000000004</x:v>
      </x:c>
      <x:c r="G33" s="60" t="n">
        <x:f>Assumptions!$C$21+(Assumptions!$D$21-Assumptions!$C$21)*5/12</x:f>
        <x:v>27.833333333333336</x:v>
      </x:c>
      <x:c r="H33" s="61" t="n">
        <x:f>G33*Assumptions!$D$22</x:f>
        <x:v>16672.166666666668</x:v>
      </x:c>
      <x:c r="I33" s="62" t="n">
        <x:f>Assumptions!$C$23+(Assumptions!$D$23-Assumptions!$C$23)*5/12</x:f>
        <x:v>4.666666666666667</x:v>
      </x:c>
      <x:c r="J33" s="61" t="n">
        <x:f>I33*Assumptions!$D$24</x:f>
        <x:v>4666.666666666667</x:v>
      </x:c>
      <x:c r="K33" s="53" t="n">
        <x:f>Assumptions!$D$25</x:f>
        <x:v>0.08</x:v>
      </x:c>
      <x:c r="L33" s="61" t="n">
        <x:f>SUM(D33,F33,H33,J33)*K33</x:f>
        <x:v>4204.106666666667</x:v>
      </x:c>
      <x:c r="M33" s="62" t="n">
        <x:f>MAX(0,C33+E33+G33-C32-E32-G32)</x:f>
        <x:v>14.666666666666679</x:v>
      </x:c>
      <x:c r="N33" s="61" t="n">
        <x:f>Assumptions!$D$26</x:f>
        <x:v>400</x:v>
      </x:c>
      <x:c r="O33" s="62" t="n">
        <x:f>MAX(0,I33-I32)</x:f>
        <x:v>0.3333333333333339</x:v>
      </x:c>
      <x:c r="P33" s="61" t="n">
        <x:f>Assumptions!$D$27</x:f>
        <x:v>5000</x:v>
      </x:c>
      <x:c r="Q33" s="61" t="n">
        <x:f>M33*N33+O33*P33</x:f>
        <x:v>7533.333333333341</x:v>
      </x:c>
      <x:c r="R33" s="61" t="n">
        <x:f>SUM(D33,F33,H33,J33,L33,Q33)</x:f>
        <x:v>64288.773333333345</x:v>
      </x:c>
    </x:row>
    <x:row r="34">
      <x:c r="A34" s="59" t="n">
        <x:v>47150</x:v>
      </x:c>
      <x:c r="B34" s="43" t="n">
        <x:v>3</x:v>
      </x:c>
      <x:c r="C34" s="60" t="n">
        <x:f>Assumptions!$C$17+(Assumptions!$D$17-Assumptions!$C$17)*6/12</x:f>
        <x:v>65</x:v>
      </x:c>
      <x:c r="D34" s="61" t="n">
        <x:f>C34*Assumptions!$D$18</x:f>
        <x:v>6435</x:v>
      </x:c>
      <x:c r="E34" s="60" t="n">
        <x:f>Assumptions!$C$19+(Assumptions!$D$19-Assumptions!$C$19)*6/12</x:f>
        <x:v>110</x:v>
      </x:c>
      <x:c r="F34" s="61" t="n">
        <x:f>E34*Assumptions!$D$20</x:f>
        <x:v>27390</x:v>
      </x:c>
      <x:c r="G34" s="60" t="n">
        <x:f>Assumptions!$C$21+(Assumptions!$D$21-Assumptions!$C$21)*6/12</x:f>
        <x:v>30</x:v>
      </x:c>
      <x:c r="H34" s="61" t="n">
        <x:f>G34*Assumptions!$D$22</x:f>
        <x:v>17970</x:v>
      </x:c>
      <x:c r="I34" s="62" t="n">
        <x:f>Assumptions!$C$23+(Assumptions!$D$23-Assumptions!$C$23)*6/12</x:f>
        <x:v>5</x:v>
      </x:c>
      <x:c r="J34" s="61" t="n">
        <x:f>I34*Assumptions!$D$24</x:f>
        <x:v>5000</x:v>
      </x:c>
      <x:c r="K34" s="53" t="n">
        <x:f>Assumptions!$D$25</x:f>
        <x:v>0.08</x:v>
      </x:c>
      <x:c r="L34" s="61" t="n">
        <x:f>SUM(D34,F34,H34,J34)*K34</x:f>
        <x:v>4543.6</x:v>
      </x:c>
      <x:c r="M34" s="62" t="n">
        <x:f>MAX(0,C34+E34+G34-C33-E33-G33)</x:f>
        <x:v>14.666666666666636</x:v>
      </x:c>
      <x:c r="N34" s="61" t="n">
        <x:f>Assumptions!$D$26</x:f>
        <x:v>400</x:v>
      </x:c>
      <x:c r="O34" s="62" t="n">
        <x:f>MAX(0,I34-I33)</x:f>
        <x:v>0.33333333333333304</x:v>
      </x:c>
      <x:c r="P34" s="61" t="n">
        <x:f>Assumptions!$D$27</x:f>
        <x:v>5000</x:v>
      </x:c>
      <x:c r="Q34" s="61" t="n">
        <x:f>M34*N34+O34*P34</x:f>
        <x:v>7533.333333333319</x:v>
      </x:c>
      <x:c r="R34" s="61" t="n">
        <x:f>SUM(D34,F34,H34,J34,L34,Q34)</x:f>
        <x:v>68871.93333333332</x:v>
      </x:c>
    </x:row>
    <x:row r="35">
      <x:c r="A35" s="59" t="n">
        <x:v>47178</x:v>
      </x:c>
      <x:c r="B35" s="43" t="n">
        <x:v>3</x:v>
      </x:c>
      <x:c r="C35" s="60" t="n">
        <x:f>Assumptions!$C$17+(Assumptions!$D$17-Assumptions!$C$17)*7/12</x:f>
        <x:v>68.33333333333333</x:v>
      </x:c>
      <x:c r="D35" s="61" t="n">
        <x:f>C35*Assumptions!$D$18</x:f>
        <x:v>6764.999999999999</x:v>
      </x:c>
      <x:c r="E35" s="60" t="n">
        <x:f>Assumptions!$C$19+(Assumptions!$D$19-Assumptions!$C$19)*7/12</x:f>
        <x:v>119.16666666666667</x:v>
      </x:c>
      <x:c r="F35" s="61" t="n">
        <x:f>E35*Assumptions!$D$20</x:f>
        <x:v>29672.5</x:v>
      </x:c>
      <x:c r="G35" s="60" t="n">
        <x:f>Assumptions!$C$21+(Assumptions!$D$21-Assumptions!$C$21)*7/12</x:f>
        <x:v>32.166666666666664</x:v>
      </x:c>
      <x:c r="H35" s="61" t="n">
        <x:f>G35*Assumptions!$D$22</x:f>
        <x:v>19267.833333333332</x:v>
      </x:c>
      <x:c r="I35" s="62" t="n">
        <x:f>Assumptions!$C$23+(Assumptions!$D$23-Assumptions!$C$23)*7/12</x:f>
        <x:v>5.333333333333334</x:v>
      </x:c>
      <x:c r="J35" s="61" t="n">
        <x:f>I35*Assumptions!$D$24</x:f>
        <x:v>5333.333333333334</x:v>
      </x:c>
      <x:c r="K35" s="53" t="n">
        <x:f>Assumptions!$D$25</x:f>
        <x:v>0.08</x:v>
      </x:c>
      <x:c r="L35" s="61" t="n">
        <x:f>SUM(D35,F35,H35,J35)*K35</x:f>
        <x:v>4883.093333333333</x:v>
      </x:c>
      <x:c r="M35" s="62" t="n">
        <x:f>MAX(0,C35+E35+G35-C34-E34-G34)</x:f>
        <x:v>14.666666666666657</x:v>
      </x:c>
      <x:c r="N35" s="61" t="n">
        <x:f>Assumptions!$D$26</x:f>
        <x:v>400</x:v>
      </x:c>
      <x:c r="O35" s="62" t="n">
        <x:f>MAX(0,I35-I34)</x:f>
        <x:v>0.3333333333333339</x:v>
      </x:c>
      <x:c r="P35" s="61" t="n">
        <x:f>Assumptions!$D$27</x:f>
        <x:v>5000</x:v>
      </x:c>
      <x:c r="Q35" s="61" t="n">
        <x:f>M35*N35+O35*P35</x:f>
        <x:v>7533.333333333332</x:v>
      </x:c>
      <x:c r="R35" s="61" t="n">
        <x:f>SUM(D35,F35,H35,J35,L35,Q35)</x:f>
        <x:v>73455.09333333332</x:v>
      </x:c>
    </x:row>
    <x:row r="36">
      <x:c r="A36" s="59" t="n">
        <x:v>47209</x:v>
      </x:c>
      <x:c r="B36" s="43" t="n">
        <x:v>3</x:v>
      </x:c>
      <x:c r="C36" s="60" t="n">
        <x:f>Assumptions!$C$17+(Assumptions!$D$17-Assumptions!$C$17)*8/12</x:f>
        <x:v>71.66666666666667</x:v>
      </x:c>
      <x:c r="D36" s="61" t="n">
        <x:f>C36*Assumptions!$D$18</x:f>
        <x:v>7095.000000000001</x:v>
      </x:c>
      <x:c r="E36" s="60" t="n">
        <x:f>Assumptions!$C$19+(Assumptions!$D$19-Assumptions!$C$19)*8/12</x:f>
        <x:v>128.33333333333331</x:v>
      </x:c>
      <x:c r="F36" s="61" t="n">
        <x:f>E36*Assumptions!$D$20</x:f>
        <x:v>31954.999999999996</x:v>
      </x:c>
      <x:c r="G36" s="60" t="n">
        <x:f>Assumptions!$C$21+(Assumptions!$D$21-Assumptions!$C$21)*8/12</x:f>
        <x:v>34.33333333333333</x:v>
      </x:c>
      <x:c r="H36" s="61" t="n">
        <x:f>G36*Assumptions!$D$22</x:f>
        <x:v>20565.666666666664</x:v>
      </x:c>
      <x:c r="I36" s="62" t="n">
        <x:f>Assumptions!$C$23+(Assumptions!$D$23-Assumptions!$C$23)*8/12</x:f>
        <x:v>5.666666666666666</x:v>
      </x:c>
      <x:c r="J36" s="61" t="n">
        <x:f>I36*Assumptions!$D$24</x:f>
        <x:v>5666.666666666666</x:v>
      </x:c>
      <x:c r="K36" s="53" t="n">
        <x:f>Assumptions!$D$25</x:f>
        <x:v>0.08</x:v>
      </x:c>
      <x:c r="L36" s="61" t="n">
        <x:f>SUM(D36,F36,H36,J36)*K36</x:f>
        <x:v>5222.586666666666</x:v>
      </x:c>
      <x:c r="M36" s="62" t="n">
        <x:f>MAX(0,C36+E36+G36-C35-E35-G35)</x:f>
        <x:v>14.666666666666664</x:v>
      </x:c>
      <x:c r="N36" s="61" t="n">
        <x:f>Assumptions!$D$26</x:f>
        <x:v>400</x:v>
      </x:c>
      <x:c r="O36" s="62" t="n">
        <x:f>MAX(0,I36-I35)</x:f>
        <x:v>0.33333333333333215</x:v>
      </x:c>
      <x:c r="P36" s="61" t="n">
        <x:f>Assumptions!$D$27</x:f>
        <x:v>5000</x:v>
      </x:c>
      <x:c r="Q36" s="61" t="n">
        <x:f>M36*N36+O36*P36</x:f>
        <x:v>7533.333333333327</x:v>
      </x:c>
      <x:c r="R36" s="61" t="n">
        <x:f>SUM(D36,F36,H36,J36,L36,Q36)</x:f>
        <x:v>78038.25333333333</x:v>
      </x:c>
    </x:row>
    <x:row r="37">
      <x:c r="A37" s="59" t="n">
        <x:v>47239</x:v>
      </x:c>
      <x:c r="B37" s="43" t="n">
        <x:v>3</x:v>
      </x:c>
      <x:c r="C37" s="60" t="n">
        <x:f>Assumptions!$C$17+(Assumptions!$D$17-Assumptions!$C$17)*9/12</x:f>
        <x:v>75</x:v>
      </x:c>
      <x:c r="D37" s="61" t="n">
        <x:f>C37*Assumptions!$D$18</x:f>
        <x:v>7425</x:v>
      </x:c>
      <x:c r="E37" s="60" t="n">
        <x:f>Assumptions!$C$19+(Assumptions!$D$19-Assumptions!$C$19)*9/12</x:f>
        <x:v>137.5</x:v>
      </x:c>
      <x:c r="F37" s="61" t="n">
        <x:f>E37*Assumptions!$D$20</x:f>
        <x:v>34237.5</x:v>
      </x:c>
      <x:c r="G37" s="60" t="n">
        <x:f>Assumptions!$C$21+(Assumptions!$D$21-Assumptions!$C$21)*9/12</x:f>
        <x:v>36.5</x:v>
      </x:c>
      <x:c r="H37" s="61" t="n">
        <x:f>G37*Assumptions!$D$22</x:f>
        <x:v>21863.5</x:v>
      </x:c>
      <x:c r="I37" s="62" t="n">
        <x:f>Assumptions!$C$23+(Assumptions!$D$23-Assumptions!$C$23)*9/12</x:f>
        <x:v>6</x:v>
      </x:c>
      <x:c r="J37" s="61" t="n">
        <x:f>I37*Assumptions!$D$24</x:f>
        <x:v>6000</x:v>
      </x:c>
      <x:c r="K37" s="53" t="n">
        <x:f>Assumptions!$D$25</x:f>
        <x:v>0.08</x:v>
      </x:c>
      <x:c r="L37" s="61" t="n">
        <x:f>SUM(D37,F37,H37,J37)*K37</x:f>
        <x:v>5562.08</x:v>
      </x:c>
      <x:c r="M37" s="62" t="n">
        <x:f>MAX(0,C37+E37+G37-C36-E36-G36)</x:f>
        <x:v>14.666666666666671</x:v>
      </x:c>
      <x:c r="N37" s="61" t="n">
        <x:f>Assumptions!$D$26</x:f>
        <x:v>400</x:v>
      </x:c>
      <x:c r="O37" s="62" t="n">
        <x:f>MAX(0,I37-I36)</x:f>
        <x:v>0.3333333333333339</x:v>
      </x:c>
      <x:c r="P37" s="61" t="n">
        <x:f>Assumptions!$D$27</x:f>
        <x:v>5000</x:v>
      </x:c>
      <x:c r="Q37" s="61" t="n">
        <x:f>M37*N37+O37*P37</x:f>
        <x:v>7533.3333333333385</x:v>
      </x:c>
      <x:c r="R37" s="61" t="n">
        <x:f>SUM(D37,F37,H37,J37,L37,Q37)</x:f>
        <x:v>82621.41333333334</x:v>
      </x:c>
    </x:row>
    <x:row r="38">
      <x:c r="A38" s="59" t="n">
        <x:v>47270</x:v>
      </x:c>
      <x:c r="B38" s="43" t="n">
        <x:v>3</x:v>
      </x:c>
      <x:c r="C38" s="60" t="n">
        <x:f>Assumptions!$C$17+(Assumptions!$D$17-Assumptions!$C$17)*10/12</x:f>
        <x:v>78.33333333333334</x:v>
      </x:c>
      <x:c r="D38" s="61" t="n">
        <x:f>C38*Assumptions!$D$18</x:f>
        <x:v>7755.000000000001</x:v>
      </x:c>
      <x:c r="E38" s="60" t="n">
        <x:f>Assumptions!$C$19+(Assumptions!$D$19-Assumptions!$C$19)*10/12</x:f>
        <x:v>146.66666666666669</x:v>
      </x:c>
      <x:c r="F38" s="61" t="n">
        <x:f>E38*Assumptions!$D$20</x:f>
        <x:v>36520.00000000001</x:v>
      </x:c>
      <x:c r="G38" s="60" t="n">
        <x:f>Assumptions!$C$21+(Assumptions!$D$21-Assumptions!$C$21)*10/12</x:f>
        <x:v>38.66666666666667</x:v>
      </x:c>
      <x:c r="H38" s="61" t="n">
        <x:f>G38*Assumptions!$D$22</x:f>
        <x:v>23161.333333333336</x:v>
      </x:c>
      <x:c r="I38" s="62" t="n">
        <x:f>Assumptions!$C$23+(Assumptions!$D$23-Assumptions!$C$23)*10/12</x:f>
        <x:v>6.333333333333334</x:v>
      </x:c>
      <x:c r="J38" s="61" t="n">
        <x:f>I38*Assumptions!$D$24</x:f>
        <x:v>6333.333333333334</x:v>
      </x:c>
      <x:c r="K38" s="53" t="n">
        <x:f>Assumptions!$D$25</x:f>
        <x:v>0.08</x:v>
      </x:c>
      <x:c r="L38" s="61" t="n">
        <x:f>SUM(D38,F38,H38,J38)*K38</x:f>
        <x:v>5901.573333333334</x:v>
      </x:c>
      <x:c r="M38" s="62" t="n">
        <x:f>MAX(0,C38+E38+G38-C37-E37-G37)</x:f>
        <x:v>14.666666666666686</x:v>
      </x:c>
      <x:c r="N38" s="61" t="n">
        <x:f>Assumptions!$D$26</x:f>
        <x:v>400</x:v>
      </x:c>
      <x:c r="O38" s="62" t="n">
        <x:f>MAX(0,I38-I37)</x:f>
        <x:v>0.3333333333333339</x:v>
      </x:c>
      <x:c r="P38" s="61" t="n">
        <x:f>Assumptions!$D$27</x:f>
        <x:v>5000</x:v>
      </x:c>
      <x:c r="Q38" s="61" t="n">
        <x:f>M38*N38+O38*P38</x:f>
        <x:v>7533.333333333344</x:v>
      </x:c>
      <x:c r="R38" s="61" t="n">
        <x:f>SUM(D38,F38,H38,J38,L38,Q38)</x:f>
        <x:v>87204.57333333335</x:v>
      </x:c>
    </x:row>
    <x:row r="39">
      <x:c r="A39" s="59" t="n">
        <x:v>47300</x:v>
      </x:c>
      <x:c r="B39" s="43" t="n">
        <x:v>3</x:v>
      </x:c>
      <x:c r="C39" s="60" t="n">
        <x:f>Assumptions!$C$17+(Assumptions!$D$17-Assumptions!$C$17)*11/12</x:f>
        <x:v>81.66666666666666</x:v>
      </x:c>
      <x:c r="D39" s="61" t="n">
        <x:f>C39*Assumptions!$D$18</x:f>
        <x:v>8084.999999999999</x:v>
      </x:c>
      <x:c r="E39" s="60" t="n">
        <x:f>Assumptions!$C$19+(Assumptions!$D$19-Assumptions!$C$19)*11/12</x:f>
        <x:v>155.83333333333331</x:v>
      </x:c>
      <x:c r="F39" s="61" t="n">
        <x:f>E39*Assumptions!$D$20</x:f>
        <x:v>38802.49999999999</x:v>
      </x:c>
      <x:c r="G39" s="60" t="n">
        <x:f>Assumptions!$C$21+(Assumptions!$D$21-Assumptions!$C$21)*11/12</x:f>
        <x:v>40.83333333333333</x:v>
      </x:c>
      <x:c r="H39" s="61" t="n">
        <x:f>G39*Assumptions!$D$22</x:f>
        <x:v>24459.166666666664</x:v>
      </x:c>
      <x:c r="I39" s="62" t="n">
        <x:f>Assumptions!$C$23+(Assumptions!$D$23-Assumptions!$C$23)*11/12</x:f>
        <x:v>6.666666666666666</x:v>
      </x:c>
      <x:c r="J39" s="61" t="n">
        <x:f>I39*Assumptions!$D$24</x:f>
        <x:v>6666.666666666666</x:v>
      </x:c>
      <x:c r="K39" s="53" t="n">
        <x:f>Assumptions!$D$25</x:f>
        <x:v>0.08</x:v>
      </x:c>
      <x:c r="L39" s="61" t="n">
        <x:f>SUM(D39,F39,H39,J39)*K39</x:f>
        <x:v>6241.066666666667</x:v>
      </x:c>
      <x:c r="M39" s="62" t="n">
        <x:f>MAX(0,C39+E39+G39-C38-E38-G38)</x:f>
        <x:v>14.666666666666615</x:v>
      </x:c>
      <x:c r="N39" s="61" t="n">
        <x:f>Assumptions!$D$26</x:f>
        <x:v>400</x:v>
      </x:c>
      <x:c r="O39" s="62" t="n">
        <x:f>MAX(0,I39-I38)</x:f>
        <x:v>0.33333333333333215</x:v>
      </x:c>
      <x:c r="P39" s="61" t="n">
        <x:f>Assumptions!$D$27</x:f>
        <x:v>5000</x:v>
      </x:c>
      <x:c r="Q39" s="61" t="n">
        <x:f>M39*N39+O39*P39</x:f>
        <x:v>7533.333333333307</x:v>
      </x:c>
      <x:c r="R39" s="61" t="n">
        <x:f>SUM(D39,F39,H39,J39,L39,Q39)</x:f>
        <x:v>91787.73333333331</x:v>
      </x:c>
    </x:row>
    <x:row r="40">
      <x:c r="A40" s="59" t="n">
        <x:v>47331</x:v>
      </x:c>
      <x:c r="B40" s="43" t="n">
        <x:v>3</x:v>
      </x:c>
      <x:c r="C40" s="60" t="n">
        <x:f>Assumptions!$C$17+(Assumptions!$D$17-Assumptions!$C$17)*12/12</x:f>
        <x:v>85</x:v>
      </x:c>
      <x:c r="D40" s="61" t="n">
        <x:f>C40*Assumptions!$D$18</x:f>
        <x:v>8415</x:v>
      </x:c>
      <x:c r="E40" s="60" t="n">
        <x:f>Assumptions!$C$19+(Assumptions!$D$19-Assumptions!$C$19)*12/12</x:f>
        <x:v>165</x:v>
      </x:c>
      <x:c r="F40" s="61" t="n">
        <x:f>E40*Assumptions!$D$20</x:f>
        <x:v>41085</x:v>
      </x:c>
      <x:c r="G40" s="60" t="n">
        <x:f>Assumptions!$C$21+(Assumptions!$D$21-Assumptions!$C$21)*12/12</x:f>
        <x:v>43</x:v>
      </x:c>
      <x:c r="H40" s="61" t="n">
        <x:f>G40*Assumptions!$D$22</x:f>
        <x:v>25757</x:v>
      </x:c>
      <x:c r="I40" s="62" t="n">
        <x:f>Assumptions!$C$23+(Assumptions!$D$23-Assumptions!$C$23)*12/12</x:f>
        <x:v>7</x:v>
      </x:c>
      <x:c r="J40" s="61" t="n">
        <x:f>I40*Assumptions!$D$24</x:f>
        <x:v>7000</x:v>
      </x:c>
      <x:c r="K40" s="53" t="n">
        <x:f>Assumptions!$D$25</x:f>
        <x:v>0.08</x:v>
      </x:c>
      <x:c r="L40" s="61" t="n">
        <x:f>SUM(D40,F40,H40,J40)*K40</x:f>
        <x:v>6580.56</x:v>
      </x:c>
      <x:c r="M40" s="62" t="n">
        <x:f>MAX(0,C40+E40+G40-C39-E39-G39)</x:f>
        <x:v>14.6666666666667</x:v>
      </x:c>
      <x:c r="N40" s="61" t="n">
        <x:f>Assumptions!$D$26</x:f>
        <x:v>400</x:v>
      </x:c>
      <x:c r="O40" s="62" t="n">
        <x:f>MAX(0,I40-I39)</x:f>
        <x:v>0.3333333333333339</x:v>
      </x:c>
      <x:c r="P40" s="61" t="n">
        <x:f>Assumptions!$D$27</x:f>
        <x:v>5000</x:v>
      </x:c>
      <x:c r="Q40" s="61" t="n">
        <x:f>M40*N40+O40*P40</x:f>
        <x:v>7533.333333333349</x:v>
      </x:c>
      <x:c r="R40" s="61" t="n">
        <x:f>SUM(D40,F40,H40,J40,L40,Q40)</x:f>
        <x:v>96370.89333333334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22" hidden="0" customWidth="1"/>
    <x:col min="4" max="4" width="22" hidden="0" customWidth="1"/>
    <x:col min="5" max="5" width="28" hidden="0" customWidth="1"/>
    <x:col min="6" max="6" width="28" hidden="0" customWidth="1"/>
    <x:col min="7" max="7" width="28" hidden="0" customWidth="1"/>
  </x:cols>
  <x:sheetData>
    <x:row r="1" ht="34" customHeight="1">
      <x:c r="A1" s="42" t="str">
        <x:v>Scenario View</x:v>
      </x:c>
      <x:c r="B1" s="43"/>
      <x:c r="C1" s="43"/>
      <x:c r="D1" s="43"/>
      <x:c r="E1" s="43"/>
      <x:c r="F1" s="43"/>
      <x:c r="G1" s="43"/>
    </x:row>
    <x:row r="2" ht="26" customHeight="1">
      <x:c r="A2" s="44" t="str">
        <x:v>The range widens by year because conversion, retention and expansion are not yet observed.</x:v>
      </x:c>
      <x:c r="B2" s="43"/>
      <x:c r="C2" s="43"/>
      <x:c r="D2" s="43"/>
      <x:c r="E2" s="43"/>
      <x:c r="F2" s="43"/>
      <x:c r="G2" s="43"/>
    </x:row>
    <x:row r="3">
      <x:c r="A3" s="43"/>
      <x:c r="B3" s="43"/>
      <x:c r="C3" s="43"/>
      <x:c r="D3" s="43"/>
      <x:c r="E3" s="43"/>
      <x:c r="F3" s="43"/>
      <x:c r="G3" s="43"/>
    </x:row>
    <x:row r="4" ht="24" customHeight="1">
      <x:c r="A4" s="45" t="str">
        <x:v>Scenario</x:v>
      </x:c>
      <x:c r="B4" s="45" t="str">
        <x:v>Y1</x:v>
      </x:c>
      <x:c r="C4" s="45" t="str">
        <x:v>Y2</x:v>
      </x:c>
      <x:c r="D4" s="45" t="str">
        <x:v>Y3</x:v>
      </x:c>
      <x:c r="E4" s="43"/>
      <x:c r="F4" s="43"/>
      <x:c r="G4" s="43"/>
    </x:row>
    <x:row r="5">
      <x:c r="A5" s="43" t="str">
        <x:v>Conservative</x:v>
      </x:c>
      <x:c r="B5" s="46" t="n">
        <x:f>'Executive Summary'!B31</x:f>
        <x:v>106331.875</x:v>
      </x:c>
      <x:c r="C5" s="46" t="n">
        <x:f>'Executive Summary'!C31</x:f>
        <x:v>427331.08</x:v>
      </x:c>
      <x:c r="D5" s="46" t="n">
        <x:f>'Executive Summary'!D31</x:f>
        <x:v>1184112.972</x:v>
      </x:c>
      <x:c r="E5" s="43"/>
      <x:c r="F5" s="43"/>
      <x:c r="G5" s="43"/>
    </x:row>
    <x:row r="6">
      <x:c r="A6" s="43" t="str">
        <x:v>Base</x:v>
      </x:c>
      <x:c r="B6" s="46" t="n">
        <x:f>'Executive Summary'!B32</x:f>
        <x:v>163587.5</x:v>
      </x:c>
      <x:c r="C6" s="46" t="n">
        <x:f>'Executive Summary'!C32</x:f>
        <x:v>776965.6</x:v>
      </x:c>
      <x:c r="D6" s="46" t="n">
        <x:f>'Executive Summary'!D32</x:f>
        <x:v>2631362.16</x:v>
      </x:c>
      <x:c r="E6" s="43"/>
      <x:c r="F6" s="43"/>
      <x:c r="G6" s="43"/>
    </x:row>
    <x:row r="7">
      <x:c r="A7" s="43" t="str">
        <x:v>Upside</x:v>
      </x:c>
      <x:c r="B7" s="46" t="n">
        <x:f>'Executive Summary'!B33</x:f>
        <x:v>204484.375</x:v>
      </x:c>
      <x:c r="C7" s="46" t="n">
        <x:f>'Executive Summary'!C33</x:f>
        <x:v>1126600.1199999999</x:v>
      </x:c>
      <x:c r="D7" s="46" t="n">
        <x:f>'Executive Summary'!D33</x:f>
        <x:v>4210179.456</x:v>
      </x:c>
      <x:c r="E7" s="43"/>
      <x:c r="F7" s="43"/>
      <x:c r="G7" s="43"/>
    </x:row>
    <x:row r="8">
      <x:c r="A8" s="43"/>
      <x:c r="B8" s="43"/>
      <x:c r="C8" s="43"/>
      <x:c r="D8" s="43"/>
      <x:c r="E8" s="43"/>
      <x:c r="F8" s="43"/>
      <x:c r="G8" s="43"/>
    </x:row>
    <x:row r="9">
      <x:c r="A9" s="43"/>
      <x:c r="B9" s="43"/>
      <x:c r="C9" s="43"/>
      <x:c r="D9" s="43"/>
      <x:c r="E9" s="43"/>
      <x:c r="F9" s="43"/>
      <x:c r="G9" s="43"/>
    </x:row>
    <x:row r="10" ht="24" customHeight="1">
      <x:c r="A10" s="45" t="str">
        <x:v>What changes</x:v>
      </x:c>
      <x:c r="B10" s="45" t="str">
        <x:v>Conservative</x:v>
      </x:c>
      <x:c r="C10" s="45" t="str">
        <x:v>Base</x:v>
      </x:c>
      <x:c r="D10" s="45" t="str">
        <x:v>Upside</x:v>
      </x:c>
      <x:c r="E10" s="45" t="str">
        <x:v>Evidence needed</x:v>
      </x:c>
      <x:c r="F10" s="45" t="str">
        <x:v>Decision gate</x:v>
      </x:c>
      <x:c r="G10" s="45" t="str">
        <x:v>Owner</x:v>
      </x:c>
    </x:row>
    <x:row r="11">
      <x:c r="A11" s="63" t="str">
        <x:v>Customer acquisition</x:v>
      </x:c>
      <x:c r="B11" s="63" t="str">
        <x:v>Slower pilots and partner ramp</x:v>
      </x:c>
      <x:c r="C11" s="63" t="str">
        <x:v>Plan targets</x:v>
      </x:c>
      <x:c r="D11" s="63" t="str">
        <x:v>Faster referrals + self-serve</x:v>
      </x:c>
      <x:c r="E11" s="63" t="str">
        <x:v>Qualified pipeline, win rate</x:v>
      </x:c>
      <x:c r="F11" s="63" t="str">
        <x:v>5–7 paid conversions</x:v>
      </x:c>
      <x:c r="G11" s="63" t="str">
        <x:v>Founder</x:v>
      </x:c>
    </x:row>
    <x:row r="12">
      <x:c r="A12" s="63" t="str">
        <x:v>Retention</x:v>
      </x:c>
      <x:c r="B12" s="63" t="str">
        <x:v>Higher early churn</x:v>
      </x:c>
      <x:c r="C12" s="63" t="str">
        <x:v>Target churn after beta</x:v>
      </x:c>
      <x:c r="D12" s="63" t="str">
        <x:v>Strong reuse/expansion</x:v>
      </x:c>
      <x:c r="E12" s="63" t="str">
        <x:v>3+ monthly cohorts</x:v>
      </x:c>
      <x:c r="F12" s="63" t="str">
        <x:v>GRR/NRR measured</x:v>
      </x:c>
      <x:c r="G12" s="63" t="str">
        <x:v>Product/CS</x:v>
      </x:c>
    </x:row>
    <x:row r="13">
      <x:c r="A13" s="63" t="str">
        <x:v>Team seat expansion</x:v>
      </x:c>
      <x:c r="B13" s="63" t="str">
        <x:v>6–8 seats</x:v>
      </x:c>
      <x:c r="C13" s="63" t="str">
        <x:v>8–12 seats</x:v>
      </x:c>
      <x:c r="D13" s="63" t="str">
        <x:v>12+ seats</x:v>
      </x:c>
      <x:c r="E13" s="63" t="str">
        <x:v>Invites and active-seat cohorts</x:v>
      </x:c>
      <x:c r="F13" s="63" t="str">
        <x:v>2 workflows + 5 active users</x:v>
      </x:c>
      <x:c r="G13" s="63" t="str">
        <x:v>Product</x:v>
      </x:c>
    </x:row>
    <x:row r="14">
      <x:c r="A14" s="63" t="str">
        <x:v>API adoption</x:v>
      </x:c>
      <x:c r="B14" s="63" t="str">
        <x:v>Delayed GA</x:v>
      </x:c>
      <x:c r="C14" s="63" t="str">
        <x:v>Launch after reliability gate</x:v>
      </x:c>
      <x:c r="D14" s="63" t="str">
        <x:v>Developer pull accelerates</x:v>
      </x:c>
      <x:c r="E14" s="63" t="str">
        <x:v>Wallet activation and spend</x:v>
      </x:c>
      <x:c r="F14" s="63" t="str">
        <x:v>20 retained wallets</x:v>
      </x:c>
      <x:c r="G14" s="63" t="str">
        <x:v>Engineering</x:v>
      </x:c>
    </x:row>
    <x:row r="15">
      <x:c r="A15" s="63" t="str">
        <x:v>Engage usage</x:v>
      </x:c>
      <x:c r="B15" s="63" t="str">
        <x:v>Mostly base subscription</x:v>
      </x:c>
      <x:c r="C15" s="63" t="str">
        <x:v>5–8% add-ons by Y2–Y3</x:v>
      </x:c>
      <x:c r="D15" s="63" t="str">
        <x:v>10%+ add-ons</x:v>
      </x:c>
      <x:c r="E15" s="63" t="str">
        <x:v>Inbound volume and overage</x:v>
      </x:c>
      <x:c r="F15" s="63" t="str">
        <x:v>10 paid retained accounts</x:v>
      </x:c>
      <x:c r="G15" s="63" t="str">
        <x:v>Engage GM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8" hidden="0" customWidth="1"/>
    <x:col min="3" max="3" width="28" hidden="0" customWidth="1"/>
    <x:col min="4" max="4" width="28" hidden="0" customWidth="1"/>
  </x:cols>
  <x:sheetData>
    <x:row r="1" ht="34" customHeight="1">
      <x:c r="A1" s="42" t="str">
        <x:v>Model Checks</x:v>
      </x:c>
      <x:c r="B1" s="43"/>
      <x:c r="C1" s="43"/>
      <x:c r="D1" s="43"/>
    </x:row>
    <x:row r="2" ht="26" customHeight="1">
      <x:c r="A2" s="44" t="str">
        <x:v>PASS means the workbook reconciles mechanically; it does not validate market demand.</x:v>
      </x:c>
      <x:c r="B2" s="43"/>
      <x:c r="C2" s="43"/>
      <x:c r="D2" s="43"/>
    </x:row>
    <x:row r="3">
      <x:c r="A3" s="43"/>
      <x:c r="B3" s="43"/>
      <x:c r="C3" s="43"/>
      <x:c r="D3" s="43"/>
    </x:row>
    <x:row r="4" ht="24" customHeight="1">
      <x:c r="A4" s="45" t="str">
        <x:v>Check</x:v>
      </x:c>
      <x:c r="B4" s="45" t="str">
        <x:v>Status</x:v>
      </x:c>
      <x:c r="C4" s="45" t="str">
        <x:v>Delta</x:v>
      </x:c>
      <x:c r="D4" s="45" t="str">
        <x:v>Where to fix</x:v>
      </x:c>
    </x:row>
    <x:row r="5">
      <x:c r="A5" s="43" t="str">
        <x:v>Portfolio equals Core + Engage — Y1</x:v>
      </x:c>
      <x:c r="B5" s="43" t="str">
        <x:f>IF(ABS('Executive Summary'!B20-'Executive Summary'!B10-'Executive Summary'!B18)&lt;0.01,"PASS","FAIL")</x:f>
        <x:v>PASS</x:v>
      </x:c>
      <x:c r="C5" s="46" t="n">
        <x:f>'Executive Summary'!B20-'Executive Summary'!B10-'Executive Summary'!B18</x:f>
        <x:v>0</x:v>
      </x:c>
      <x:c r="D5" s="43" t="str">
        <x:v>Executive Summary / Core Monthly</x:v>
      </x:c>
    </x:row>
    <x:row r="6">
      <x:c r="A6" s="43" t="str">
        <x:v>Portfolio equals Core + Engage — Y2</x:v>
      </x:c>
      <x:c r="B6" s="43" t="str">
        <x:f>IF(ABS('Executive Summary'!C20-'Executive Summary'!C10-'Executive Summary'!C18)&lt;0.01,"PASS","FAIL")</x:f>
        <x:v>PASS</x:v>
      </x:c>
      <x:c r="C6" s="46" t="n">
        <x:f>'Executive Summary'!C20-'Executive Summary'!C10-'Executive Summary'!C18</x:f>
        <x:v>0</x:v>
      </x:c>
      <x:c r="D6" s="43" t="str">
        <x:v>Executive Summary / Core Monthly</x:v>
      </x:c>
    </x:row>
    <x:row r="7">
      <x:c r="A7" s="43" t="str">
        <x:v>Portfolio equals Core + Engage — Y3</x:v>
      </x:c>
      <x:c r="B7" s="43" t="str">
        <x:f>IF(ABS('Executive Summary'!D20-'Executive Summary'!D10-'Executive Summary'!D18)&lt;0.01,"PASS","FAIL")</x:f>
        <x:v>PASS</x:v>
      </x:c>
      <x:c r="C7" s="46" t="n">
        <x:f>'Executive Summary'!D20-'Executive Summary'!D10-'Executive Summary'!D18</x:f>
        <x:v>1.1641532182693481e-10</x:v>
      </x:c>
      <x:c r="D7" s="43" t="str">
        <x:v>Executive Summary / Core Monthly</x:v>
      </x:c>
    </x:row>
    <x:row r="8">
      <x:c r="A8" s="43" t="str">
        <x:v>Core annual sums tie to monthly model</x:v>
      </x:c>
      <x:c r="B8" s="43" t="str">
        <x:f>IF(ABS(SUM('Core Monthly'!S5:S40)-SUM('Executive Summary'!B10:D10))&lt;0.01,"PASS","FAIL")</x:f>
        <x:v>PASS</x:v>
      </x:c>
      <x:c r="C8" s="46" t="n">
        <x:f>SUM('Core Monthly'!S5:S40)-SUM('Executive Summary'!B10:D10)</x:f>
        <x:v>0</x:v>
      </x:c>
      <x:c r="D8" s="43" t="str">
        <x:v>Core Monthly</x:v>
      </x:c>
    </x:row>
    <x:row r="9">
      <x:c r="A9" s="43" t="str">
        <x:v>Engage annual sums tie to monthly model</x:v>
      </x:c>
      <x:c r="B9" s="43" t="str">
        <x:f>IF(ABS(SUM('Engage Monthly'!R5:R40)-SUM('Executive Summary'!B18:D18))&lt;0.01,"PASS","FAIL")</x:f>
        <x:v>PASS</x:v>
      </x:c>
      <x:c r="C9" s="46" t="n">
        <x:f>SUM('Engage Monthly'!R5:R40)-SUM('Executive Summary'!B18:D18)</x:f>
        <x:v>0</x:v>
      </x:c>
      <x:c r="D9" s="43" t="str">
        <x:v>Engage Monthly</x:v>
      </x:c>
    </x:row>
    <x:row r="10">
      <x:c r="A10" s="43" t="str">
        <x:v>Exit ARR exceeds annual revenue during ramp</x:v>
      </x:c>
      <x:c r="B10" s="43" t="str">
        <x:f>IF(AND('Executive Summary'!B22&gt;'Executive Summary'!B20,'Executive Summary'!C22&gt;'Executive Summary'!C20,'Executive Summary'!D22&gt;'Executive Summary'!D20),"PASS","REVIEW")</x:f>
        <x:v>PASS</x:v>
      </x:c>
      <x:c r="C10" s="46" t="n">
        <x:f>'Executive Summary'!D22-'Executive Summary'!D20</x:f>
        <x:v>846808.5599999991</x:v>
      </x:c>
      <x:c r="D10" s="43" t="str">
        <x:v>Assumptions: ending accounts and timing</x:v>
      </x:c>
    </x:row>
    <x:row r="11">
      <x:c r="A11" s="43" t="str">
        <x:v>Scenario ordering is logical</x:v>
      </x:c>
      <x:c r="B11" s="43" t="str">
        <x:f>IF(AND('Executive Summary'!B31&lt;'Executive Summary'!B32,'Executive Summary'!B32&lt;'Executive Summary'!B33,'Executive Summary'!D31&lt;'Executive Summary'!D32,'Executive Summary'!D32&lt;'Executive Summary'!D33),"PASS","FAIL")</x:f>
        <x:v>PASS</x:v>
      </x:c>
      <x:c r="C11" s="46" t="n">
        <x:f>'Executive Summary'!D33-'Executive Summary'!D31</x:f>
        <x:v>3026066.484</x:v>
      </x:c>
      <x:c r="D11" s="43" t="str">
        <x:v>Assumptions: scenario multipliers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52" hidden="0" customWidth="1"/>
    <x:col min="3" max="3" width="20" hidden="0" customWidth="1"/>
    <x:col min="4" max="4" width="20" hidden="0" customWidth="1"/>
    <x:col min="5" max="5" width="20" hidden="0" customWidth="1"/>
    <x:col min="6" max="6" width="58" hidden="0" customWidth="1"/>
    <x:col min="7" max="7" width="20" hidden="0" customWidth="1"/>
    <x:col min="8" max="8" width="40" hidden="0" customWidth="1"/>
    <x:col min="9" max="9" width="40" hidden="0" customWidth="1"/>
  </x:cols>
  <x:sheetData>
    <x:row r="1" ht="34" customHeight="1">
      <x:c r="A1" s="42" t="str">
        <x:v>Sources and Benchmark Log</x:v>
      </x:c>
      <x:c r="B1" s="43"/>
      <x:c r="C1" s="43"/>
      <x:c r="D1" s="43"/>
      <x:c r="E1" s="43"/>
      <x:c r="F1" s="43"/>
      <x:c r="G1" s="43"/>
      <x:c r="H1" s="43"/>
      <x:c r="I1" s="43"/>
    </x:row>
    <x:row r="2" ht="26" customHeight="1">
      <x:c r="A2" s="44" t="str">
        <x:v>External benchmarks anchor structure and price bands; they do not prove MIMAR customer demand.</x:v>
      </x:c>
      <x:c r="B2" s="43"/>
      <x:c r="C2" s="43"/>
      <x:c r="D2" s="43"/>
      <x:c r="E2" s="43"/>
      <x:c r="F2" s="43"/>
      <x:c r="G2" s="43"/>
      <x:c r="H2" s="43"/>
      <x:c r="I2" s="43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</x:row>
    <x:row r="4" ht="24" customHeight="1">
      <x:c r="A4" s="45" t="str">
        <x:v>Item</x:v>
      </x:c>
      <x:c r="B4" s="45" t="str">
        <x:v>Finding used</x:v>
      </x:c>
      <x:c r="C4" s="45" t="str">
        <x:v>As of</x:v>
      </x:c>
      <x:c r="D4" s="45" t="str">
        <x:v>Source type</x:v>
      </x:c>
      <x:c r="E4" s="45" t="str">
        <x:v>Source</x:v>
      </x:c>
      <x:c r="F4" s="45" t="str">
        <x:v>URL</x:v>
      </x:c>
      <x:c r="G4" s="45" t="str">
        <x:v>Applies to</x:v>
      </x:c>
      <x:c r="H4" s="45" t="str">
        <x:v>Model implication</x:v>
      </x:c>
      <x:c r="I4" s="45" t="str">
        <x:v>Caveat</x:v>
      </x:c>
    </x:row>
    <x:row r="5">
      <x:c r="A5" s="63" t="str">
        <x:v>MIMAR Core prices</x:v>
      </x:c>
      <x:c r="B5" s="63" t="str">
        <x:v>$10 Plus; $25 Pro; Team $12/$30; API prepaid wallet</x:v>
      </x:c>
      <x:c r="C5" s="63" t="str">
        <x:v>2026-08-28</x:v>
      </x:c>
      <x:c r="D5" s="63" t="str">
        <x:v>Management decision</x:v>
      </x:c>
      <x:c r="E5" s="63" t="str">
        <x:v>MIMAR business plan</x:v>
      </x:c>
      <x:c r="F5" s="63" t="str">
        <x:v>D:/Develop/MIMAR-AI/MIMAR_BUSINESS_PLAN_AR_2026.md</x:v>
      </x:c>
      <x:c r="G5" s="63" t="str">
        <x:v>Core</x:v>
      </x:c>
      <x:c r="H5" s="63" t="str">
        <x:v>Price inputs are relatively high-confidence</x:v>
      </x:c>
      <x:c r="I5" s="63" t="str">
        <x:v>Customer mix and retention remain untested</x:v>
      </x:c>
    </x:row>
    <x:row r="6">
      <x:c r="A6" s="63" t="str">
        <x:v>MIMAR Engage prices</x:v>
      </x:c>
      <x:c r="B6" s="63" t="str">
        <x:v>Starter $99; Growth $249; Scale $599; Enterprise $12k ACV floor</x:v>
      </x:c>
      <x:c r="C6" s="63" t="str">
        <x:v>2026-08-28</x:v>
      </x:c>
      <x:c r="D6" s="63" t="str">
        <x:v>Management decision</x:v>
      </x:c>
      <x:c r="E6" s="63" t="str">
        <x:v>MIMAR Engage plan</x:v>
      </x:c>
      <x:c r="F6" s="63" t="str">
        <x:v>D:/Develop/MIMAR-AI/MIMAR_ENGAGE_BUSINESS_PLAN_AR_2026.md</x:v>
      </x:c>
      <x:c r="G6" s="63" t="str">
        <x:v>Engage</x:v>
      </x:c>
      <x:c r="H6" s="63" t="str">
        <x:v>Tier prices sit within adjacent-market range</x:v>
      </x:c>
      <x:c r="I6" s="63" t="str">
        <x:v>Local willingness to pay requires pilots</x:v>
      </x:c>
    </x:row>
    <x:row r="7">
      <x:c r="A7" s="63" t="str">
        <x:v>GitHub Copilot</x:v>
      </x:c>
      <x:c r="B7" s="63" t="str">
        <x:v>Individual $10/$39/$100; Business $19 and Enterprise $39 per seat</x:v>
      </x:c>
      <x:c r="C7" s="63" t="str">
        <x:v>2026-08-28</x:v>
      </x:c>
      <x:c r="D7" s="63" t="str">
        <x:v>Official pricing</x:v>
      </x:c>
      <x:c r="E7" s="63" t="str">
        <x:v>GitHub Docs</x:v>
      </x:c>
      <x:c r="F7" s="63" t="str">
        <x:v>https://docs.github.com/en/copilot/get-started/plans</x:v>
      </x:c>
      <x:c r="G7" s="63" t="str">
        <x:v>Core</x:v>
      </x:c>
      <x:c r="H7" s="63" t="str">
        <x:v>Supports $10–$30 entry/seat band</x:v>
      </x:c>
      <x:c r="I7" s="63" t="str">
        <x:v>Not a direct workflow-management competitor</x:v>
      </x:c>
    </x:row>
    <x:row r="8">
      <x:c r="A8" s="63" t="str">
        <x:v>n8n</x:v>
      </x:c>
      <x:c r="B8" s="63" t="str">
        <x:v>€20 Starter and €50 Pro, billed annually; execution-based pricing</x:v>
      </x:c>
      <x:c r="C8" s="63" t="str">
        <x:v>2026-08-28</x:v>
      </x:c>
      <x:c r="D8" s="63" t="str">
        <x:v>Official pricing</x:v>
      </x:c>
      <x:c r="E8" s="63" t="str">
        <x:v>n8n</x:v>
      </x:c>
      <x:c r="F8" s="63" t="str">
        <x:v>https://n8n.io/pricing/</x:v>
      </x:c>
      <x:c r="G8" s="63" t="str">
        <x:v>Core</x:v>
      </x:c>
      <x:c r="H8" s="63" t="str">
        <x:v>Workflow value can support subscription + usage</x:v>
      </x:c>
      <x:c r="I8" s="63" t="str">
        <x:v>Different buyer and product scope</x:v>
      </x:c>
    </x:row>
    <x:row r="9">
      <x:c r="A9" s="63" t="str">
        <x:v>Manychat</x:v>
      </x:c>
      <x:c r="B9" s="63" t="str">
        <x:v>$29/$69/$139 annual-billed plans; active-contact limits</x:v>
      </x:c>
      <x:c r="C9" s="63" t="str">
        <x:v>2026-08-28</x:v>
      </x:c>
      <x:c r="D9" s="63" t="str">
        <x:v>Official pricing</x:v>
      </x:c>
      <x:c r="E9" s="63" t="str">
        <x:v>Manychat</x:v>
      </x:c>
      <x:c r="F9" s="63" t="str">
        <x:v>https://manychat.com/pricing</x:v>
      </x:c>
      <x:c r="G9" s="63" t="str">
        <x:v>Engage</x:v>
      </x:c>
      <x:c r="H9" s="63" t="str">
        <x:v>Shows low-end regional/self-serve anchor</x:v>
      </x:c>
      <x:c r="I9" s="63" t="str">
        <x:v>Broader creator automation; not trust-first support</x:v>
      </x:c>
    </x:row>
    <x:row r="10">
      <x:c r="A10" s="63" t="str">
        <x:v>respond.io</x:v>
      </x:c>
      <x:c r="B10" s="63" t="str">
        <x:v>$79/$159/$279; WhatsApp fees excluded</x:v>
      </x:c>
      <x:c r="C10" s="63" t="str">
        <x:v>2026-08-28</x:v>
      </x:c>
      <x:c r="D10" s="63" t="str">
        <x:v>Official pricing</x:v>
      </x:c>
      <x:c r="E10" s="63" t="str">
        <x:v>respond.io</x:v>
      </x:c>
      <x:c r="F10" s="63" t="str">
        <x:v>https://respond.io/pricing</x:v>
      </x:c>
      <x:c r="G10" s="63" t="str">
        <x:v>Engage</x:v>
      </x:c>
      <x:c r="H10" s="63" t="str">
        <x:v>Supports $99/$249 workspace tiers and pass-through channel fees</x:v>
      </x:c>
      <x:c r="I10" s="63" t="str">
        <x:v>AI outcome depth differs</x:v>
      </x:c>
    </x:row>
    <x:row r="11">
      <x:c r="A11" s="63" t="str">
        <x:v>Gorgias AI Agent</x:v>
      </x:c>
      <x:c r="B11" s="63" t="str">
        <x:v>About $0.90–$1 per automated resolution plus helpdesk subscription</x:v>
      </x:c>
      <x:c r="C11" s="63" t="str">
        <x:v>2026-08-28</x:v>
      </x:c>
      <x:c r="D11" s="63" t="str">
        <x:v>Official pricing</x:v>
      </x:c>
      <x:c r="E11" s="63" t="str">
        <x:v>Gorgias</x:v>
      </x:c>
      <x:c r="F11" s="63" t="str">
        <x:v>https://www.gorgias.com/pricing</x:v>
      </x:c>
      <x:c r="G11" s="63" t="str">
        <x:v>Engage</x:v>
      </x:c>
      <x:c r="H11" s="63" t="str">
        <x:v>Supports a usage/overage layer</x:v>
      </x:c>
      <x:c r="I11" s="63" t="str">
        <x:v>E-commerce-centric and outcome-priced</x:v>
      </x:c>
    </x:row>
    <x:row r="12">
      <x:c r="A12" s="63" t="str">
        <x:v>Intercom Fin</x:v>
      </x:c>
      <x:c r="B12" s="63" t="str">
        <x:v>$0.99 resolution/procedure outcome; $9.99 qualification</x:v>
      </x:c>
      <x:c r="C12" s="63" t="str">
        <x:v>2026-08-28</x:v>
      </x:c>
      <x:c r="D12" s="63" t="str">
        <x:v>Official help center</x:v>
      </x:c>
      <x:c r="E12" s="63" t="str">
        <x:v>Intercom</x:v>
      </x:c>
      <x:c r="F12" s="63" t="str">
        <x:v>https://www.intercom.com/help/en/articles/8205718-fin-ai-agent-outcomes</x:v>
      </x:c>
      <x:c r="G12" s="63" t="str">
        <x:v>Engage</x:v>
      </x:c>
      <x:c r="H12" s="63" t="str">
        <x:v>Confirms measurable outcomes can carry usage pricing</x:v>
      </x:c>
      <x:c r="I12" s="63" t="str">
        <x:v>MIMAR should not claim outcome pricing before attribution data</x:v>
      </x:c>
    </x:row>
    <x:row r="13">
      <x:c r="A13" s="63" t="str">
        <x:v>Private SaaS growth</x:v>
      </x:c>
      <x:c r="B13" s="63" t="str">
        <x:v>2026 survey median growth 22% across 1,000+ private B2B SaaS companies</x:v>
      </x:c>
      <x:c r="C13" s="63" t="str">
        <x:v>2026-08-28</x:v>
      </x:c>
      <x:c r="D13" s="63" t="str">
        <x:v>Industry benchmark</x:v>
      </x:c>
      <x:c r="E13" s="63" t="str">
        <x:v>SaaS Capital</x:v>
      </x:c>
      <x:c r="F13" s="63" t="str">
        <x:v>https://www.saas-capital.com/research/private-saas-company-growth-rate-benchmarks/</x:v>
      </x:c>
      <x:c r="G13" s="63" t="str">
        <x:v>Portfolio</x:v>
      </x:c>
      <x:c r="H13" s="63" t="str">
        <x:v>Use as mature-company context, not pre-PMF target</x:v>
      </x:c>
      <x:c r="I13" s="63" t="str">
        <x:v>Sample generally more mature than MIMAR</x:v>
      </x:c>
    </x:row>
    <x:row r="14">
      <x:c r="A14" s="63" t="str">
        <x:v>AI gross margin</x:v>
      </x:c>
      <x:c r="B14" s="63" t="str">
        <x:v>BVP 2025: AI Shooting Stars averaged about 60% gross margin</x:v>
      </x:c>
      <x:c r="C14" s="63" t="str">
        <x:v>2026-08-28</x:v>
      </x:c>
      <x:c r="D14" s="63" t="str">
        <x:v>Industry benchmark</x:v>
      </x:c>
      <x:c r="E14" s="63" t="str">
        <x:v>Bessemer Venture Partners</x:v>
      </x:c>
      <x:c r="F14" s="63" t="str">
        <x:v>https://www.bvp.com/atlas/the-state-of-ai-2025</x:v>
      </x:c>
      <x:c r="G14" s="63" t="str">
        <x:v>Portfolio</x:v>
      </x:c>
      <x:c r="H14" s="63" t="str">
        <x:v>75–80% target is ambitious and must be measured</x:v>
      </x:c>
      <x:c r="I14" s="63" t="str">
        <x:v>Selected high-performing AI cohort</x:v>
      </x:c>
    </x:row>
    <x:row r="15">
      <x:c r="A15" s="63" t="str">
        <x:v>Pricing practice</x:v>
      </x:c>
      <x:c r="B15" s="63" t="str">
        <x:v>Treat early pricing as a living experiment and test willingness to pay</x:v>
      </x:c>
      <x:c r="C15" s="63" t="str">
        <x:v>2026-08-28</x:v>
      </x:c>
      <x:c r="D15" s="63" t="str">
        <x:v>Growth guidance</x:v>
      </x:c>
      <x:c r="E15" s="63" t="str">
        <x:v>Demand Curve</x:v>
      </x:c>
      <x:c r="F15" s="63" t="str">
        <x:v>https://www.demandcurve.com/lessons/choose-a-pricing-model</x:v>
      </x:c>
      <x:c r="G15" s="63" t="str">
        <x:v>Portfolio</x:v>
      </x:c>
      <x:c r="H15" s="63" t="str">
        <x:v>Keep price confidence above volume confidence</x:v>
      </x:c>
      <x:c r="I15" s="63" t="str">
        <x:v>Guidance, not market data</x:v>
      </x:c>
    </x:row>
    <x:row r="16">
      <x:c r="A16" s="63" t="str">
        <x:v>Pitch clarity</x:v>
      </x:c>
      <x:c r="B16" s="63" t="str">
        <x:v>Explain what the company does simply; market sizing can be bottom-up</x:v>
      </x:c>
      <x:c r="C16" s="63" t="str">
        <x:v>2026-08-28</x:v>
      </x:c>
      <x:c r="D16" s="63" t="str">
        <x:v>Founder guidance</x:v>
      </x:c>
      <x:c r="E16" s="63" t="str">
        <x:v>Y Combinator</x:v>
      </x:c>
      <x:c r="F16" s="63" t="str">
        <x:v>https://www.ycombinator.com/blog/how-to-pitch-your-company/</x:v>
      </x:c>
      <x:c r="G16" s="63" t="str">
        <x:v>Investor page</x:v>
      </x:c>
      <x:c r="H16" s="63" t="str">
        <x:v>Show drivers and caveats, not opaque headline totals</x:v>
      </x:c>
      <x:c r="I16" s="63" t="str">
        <x:v>General pitch guidance</x:v>
      </x:c>
    </x:row>
  </x:sheetData>
  <x:mergeCells>
    <x:mergeCell ref="A1:I1"/>
    <x:mergeCell ref="A2:I2"/>
  </x:mergeCells>
  <x:pageMargins left="0.7" right="0.7" top="0.75" bottom="0.75" header="0.3" footer="0.3"/>
</x:worksheet>
</file>